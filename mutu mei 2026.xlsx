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974B663-F321-4A29-9876-94F01C0C6E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2" i="1" l="1"/>
  <c r="O115" i="1"/>
  <c r="R118" i="2" l="1"/>
  <c r="N122" i="1"/>
  <c r="L122" i="1"/>
  <c r="K122" i="1"/>
  <c r="J122" i="1"/>
  <c r="F122" i="1"/>
  <c r="E122" i="1"/>
  <c r="D122" i="1"/>
  <c r="M115" i="1"/>
  <c r="L115" i="1"/>
  <c r="H115" i="1"/>
  <c r="G115" i="1"/>
  <c r="F115" i="1"/>
  <c r="E115" i="1"/>
  <c r="M104" i="1"/>
  <c r="L104" i="1"/>
  <c r="K77" i="1" l="1"/>
  <c r="K34" i="1"/>
  <c r="H28" i="1"/>
  <c r="O83" i="1"/>
  <c r="O77" i="1"/>
  <c r="O71" i="1"/>
  <c r="J22" i="1"/>
  <c r="K28" i="1"/>
  <c r="L77" i="1"/>
  <c r="G28" i="1"/>
  <c r="H104" i="1"/>
  <c r="G104" i="1"/>
  <c r="F104" i="1"/>
  <c r="E104" i="1"/>
  <c r="D104" i="1"/>
  <c r="I97" i="1"/>
  <c r="K83" i="1"/>
  <c r="K71" i="1"/>
  <c r="J77" i="1"/>
  <c r="F71" i="1" l="1"/>
  <c r="I77" i="1" l="1"/>
  <c r="L83" i="1"/>
  <c r="L97" i="1"/>
  <c r="H97" i="1"/>
  <c r="G97" i="1"/>
  <c r="F97" i="1"/>
  <c r="E97" i="1"/>
  <c r="D97" i="1"/>
  <c r="H90" i="1"/>
  <c r="F90" i="1"/>
  <c r="E90" i="1"/>
  <c r="D90" i="1"/>
  <c r="M83" i="1"/>
  <c r="H83" i="1"/>
  <c r="G83" i="1"/>
  <c r="F83" i="1"/>
  <c r="E83" i="1"/>
  <c r="D83" i="1"/>
  <c r="M77" i="1"/>
  <c r="H77" i="1"/>
  <c r="G77" i="1"/>
  <c r="F77" i="1"/>
  <c r="E77" i="1"/>
  <c r="D77" i="1"/>
  <c r="M71" i="1"/>
  <c r="L71" i="1"/>
  <c r="H71" i="1"/>
  <c r="G71" i="1"/>
  <c r="E71" i="1"/>
  <c r="D71" i="1"/>
  <c r="H58" i="1" l="1"/>
  <c r="L34" i="1"/>
  <c r="D34" i="1"/>
  <c r="D64" i="1"/>
  <c r="S21" i="1"/>
  <c r="S27" i="1"/>
  <c r="S57" i="1"/>
  <c r="J58" i="1"/>
  <c r="S33" i="1"/>
  <c r="J34" i="1"/>
  <c r="K58" i="1"/>
  <c r="K22" i="1"/>
  <c r="D58" i="1"/>
  <c r="D40" i="1"/>
  <c r="F58" i="1"/>
  <c r="F34" i="1"/>
  <c r="F22" i="1"/>
  <c r="N58" i="1"/>
  <c r="N22" i="1"/>
  <c r="N34" i="1"/>
  <c r="E34" i="1"/>
  <c r="D46" i="1"/>
  <c r="F28" i="1"/>
  <c r="E28" i="1"/>
  <c r="D28" i="1"/>
</calcChain>
</file>

<file path=xl/sharedStrings.xml><?xml version="1.0" encoding="utf-8"?>
<sst xmlns="http://schemas.openxmlformats.org/spreadsheetml/2006/main" count="564" uniqueCount="94">
  <si>
    <t>1. Kepatuhan cuci tangan</t>
  </si>
  <si>
    <t>Amarilis</t>
  </si>
  <si>
    <t>Mawar</t>
  </si>
  <si>
    <t>Daisy</t>
  </si>
  <si>
    <t>IGD</t>
  </si>
  <si>
    <t>HCU</t>
  </si>
  <si>
    <t>Isolasi</t>
  </si>
  <si>
    <t>Lavender</t>
  </si>
  <si>
    <t>Lily</t>
  </si>
  <si>
    <t>Violet</t>
  </si>
  <si>
    <t>Laboratorium</t>
  </si>
  <si>
    <t>Numerator</t>
  </si>
  <si>
    <t>Denumerator</t>
  </si>
  <si>
    <t>Hasil</t>
  </si>
  <si>
    <t>2. Kepatuhan Penggunaan APD</t>
  </si>
  <si>
    <t>3. Kepatuhan Identifikasi Pasien</t>
  </si>
  <si>
    <t>4. Waktu Runggu Rawat Jalan</t>
  </si>
  <si>
    <t>Jiwa</t>
  </si>
  <si>
    <t>Fisioterapi</t>
  </si>
  <si>
    <t>GIGI</t>
  </si>
  <si>
    <t>5. Kepatuhan Waktu Visite Dokter</t>
  </si>
  <si>
    <t>6. Pelaporan Hasil Kritis Laboratorium</t>
  </si>
  <si>
    <t>7. Kepatuhan Penggunaan Formularium Nasional</t>
  </si>
  <si>
    <t>Farmasi</t>
  </si>
  <si>
    <t>8. Kepatuhan Terhadap Alur Klinis</t>
  </si>
  <si>
    <t>Hipertensi</t>
  </si>
  <si>
    <t>Diabetes</t>
  </si>
  <si>
    <t>Tuberkulosis</t>
  </si>
  <si>
    <t>Pneumonia</t>
  </si>
  <si>
    <t>GEA</t>
  </si>
  <si>
    <t>9. Kepatuhan Upaya Pencegahan Risiko Pasien Jatuh</t>
  </si>
  <si>
    <t>10. Kecepatan Waktu Tanggap Komplain</t>
  </si>
  <si>
    <t>PKRS</t>
  </si>
  <si>
    <t>11. Assesmen Medis</t>
  </si>
  <si>
    <t>12. Kepatuhan Double Check Obat</t>
  </si>
  <si>
    <t>13. KepatuhanPenggunaan SBAR/TBAK</t>
  </si>
  <si>
    <t>14. Pulang Atas Permintaan Sendiri</t>
  </si>
  <si>
    <t>15. Kepatuhan Pengisian Rekam Medik</t>
  </si>
  <si>
    <t>16.Waktu Tunggu Rekam Medis</t>
  </si>
  <si>
    <t>Crisan</t>
  </si>
  <si>
    <t>poli PD</t>
  </si>
  <si>
    <t>Poli Anak</t>
  </si>
  <si>
    <t>Poli Obgin</t>
  </si>
  <si>
    <t>Poli Bedah</t>
  </si>
  <si>
    <t>Poli Jiwa</t>
  </si>
  <si>
    <t>Poli PD</t>
  </si>
  <si>
    <t>Poli MCU</t>
  </si>
  <si>
    <t>17. Kepatuhan pengembalian BRM Rawat jalan</t>
  </si>
  <si>
    <t xml:space="preserve"> Poli Rehab</t>
  </si>
  <si>
    <t>Poli VCT</t>
  </si>
  <si>
    <t>Poli Gigi</t>
  </si>
  <si>
    <t>18. Kepatuhan pengembalian BRM Rawat inap</t>
  </si>
  <si>
    <t>1. Kepatuhan Identifikasi Pasien</t>
  </si>
  <si>
    <t>Bulan</t>
  </si>
  <si>
    <t>Krisan</t>
  </si>
  <si>
    <t>Lab</t>
  </si>
  <si>
    <t>Capaian</t>
  </si>
  <si>
    <t>Target</t>
  </si>
  <si>
    <t>Januari</t>
  </si>
  <si>
    <t>Februari</t>
  </si>
  <si>
    <t>Maret</t>
  </si>
  <si>
    <t>April</t>
  </si>
  <si>
    <t>Mei</t>
  </si>
  <si>
    <t xml:space="preserve">2. Kepatuhan Cuci Tangan </t>
  </si>
  <si>
    <t>3. Kepatuhan Penggunaan APD</t>
  </si>
  <si>
    <t>%</t>
  </si>
  <si>
    <t>4. Kepatuhan Waktu Visite</t>
  </si>
  <si>
    <t>5. Waktu Tunggu Rawat Jalan</t>
  </si>
  <si>
    <t>Poli Obgyn</t>
  </si>
  <si>
    <t>May</t>
  </si>
  <si>
    <t>6.  Pelaporan Hasil Kritis Lab</t>
  </si>
  <si>
    <t>7. Formularium Nasional</t>
  </si>
  <si>
    <t xml:space="preserve">8. Kepatuhan Upaya Pencegahan Risiko Pasien Jatuh </t>
  </si>
  <si>
    <t>9. Waktu tanggap Komplain</t>
  </si>
  <si>
    <t>capaian</t>
  </si>
  <si>
    <t>target</t>
  </si>
  <si>
    <t>10. Assesmen Medis</t>
  </si>
  <si>
    <t>11. Double Check Obat</t>
  </si>
  <si>
    <t>Interna</t>
  </si>
  <si>
    <t>12. Kepatuhan Penggunaan SBAR/TBAK</t>
  </si>
  <si>
    <t xml:space="preserve">13. Pulang Atas Permintaan Sendiri </t>
  </si>
  <si>
    <t>14. pengembalian BRM Rawat Jalan</t>
  </si>
  <si>
    <t>Poli Rehab</t>
  </si>
  <si>
    <t>Poli Fisio</t>
  </si>
  <si>
    <t>15. Pengembalian BRM Rawat Inap</t>
  </si>
  <si>
    <t>Krisan A</t>
  </si>
  <si>
    <t>Krisan B</t>
  </si>
  <si>
    <t>Mawar A</t>
  </si>
  <si>
    <t>Mawar B</t>
  </si>
  <si>
    <t>Amarilis A</t>
  </si>
  <si>
    <t xml:space="preserve"> Amarilis B</t>
  </si>
  <si>
    <t>16. Waktu Tunggu Rekam Medis</t>
  </si>
  <si>
    <t xml:space="preserve">Jiwa </t>
  </si>
  <si>
    <t>17. Kepatuhan Pengisian Rekam Medik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</si>
</sst>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9" fontId="0" fillId="0" borderId="1" xfId="0" applyNumberFormat="1" applyBorder="1"/>
    <xf numFmtId="9" fontId="0" fillId="0" borderId="1" xfId="1" applyFont="1" applyBorder="1"/>
    <xf numFmtId="9" fontId="0" fillId="2" borderId="1" xfId="0" applyNumberFormat="1" applyFill="1" applyBorder="1"/>
    <xf numFmtId="0" fontId="0" fillId="0" borderId="2" xfId="0" applyBorder="1"/>
    <xf numFmtId="9" fontId="0" fillId="0" borderId="0" xfId="1" applyFont="1" applyBorder="1"/>
    <xf numFmtId="9" fontId="0" fillId="0" borderId="0" xfId="0" applyNumberFormat="1"/>
    <xf numFmtId="0" fontId="2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2" xfId="0" applyFill="1" applyBorder="1"/>
    <xf numFmtId="9" fontId="6" fillId="0" borderId="1" xfId="0" applyNumberFormat="1" applyFont="1" applyBorder="1"/>
    <xf numFmtId="0" fontId="0" fillId="0" borderId="0" xfId="0" applyFont="1"/>
    <xf numFmtId="0" fontId="0" fillId="0" borderId="1" xfId="0" applyFont="1" applyBorder="1"/>
    <xf numFmtId="9" fontId="0" fillId="0" borderId="1" xfId="0" applyNumberFormat="1" applyFont="1" applyBorder="1"/>
    <xf numFmtId="0" fontId="0" fillId="2" borderId="3" xfId="0" applyFill="1" applyBorder="1"/>
    <xf numFmtId="0" fontId="0" fillId="0" borderId="3" xfId="0" applyFill="1" applyBorder="1"/>
    <xf numFmtId="9" fontId="0" fillId="0" borderId="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Pengembalian Berkas Rekam Medik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Sheet2!$R$121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Sheet2!$P$122:$Q$126</c:f>
              <c:strCache>
                <c:ptCount val="5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</c:strCache>
            </c:strRef>
          </c:cat>
          <c:val>
            <c:numRef>
              <c:f>Sheet2!$R$122:$R$126</c:f>
              <c:numCache>
                <c:formatCode>0%</c:formatCode>
                <c:ptCount val="5"/>
                <c:pt idx="0">
                  <c:v>0.89</c:v>
                </c:pt>
                <c:pt idx="1">
                  <c:v>0.92</c:v>
                </c:pt>
                <c:pt idx="2">
                  <c:v>0.95</c:v>
                </c:pt>
                <c:pt idx="3">
                  <c:v>0.78</c:v>
                </c:pt>
                <c:pt idx="4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B-4FA8-9EF6-B6BEE4DAC191}"/>
            </c:ext>
          </c:extLst>
        </c:ser>
        <c:ser>
          <c:idx val="1"/>
          <c:order val="1"/>
          <c:tx>
            <c:strRef>
              <c:f>Sheet2!$S$121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Sheet2!$P$122:$Q$126</c:f>
              <c:strCache>
                <c:ptCount val="5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</c:strCache>
            </c:strRef>
          </c:cat>
          <c:val>
            <c:numRef>
              <c:f>Sheet2!$S$122:$S$126</c:f>
              <c:numCache>
                <c:formatCode>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B-4FA8-9EF6-B6BEE4DAC1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2345536"/>
        <c:axId val="592342176"/>
      </c:lineChart>
      <c:catAx>
        <c:axId val="5923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42176"/>
        <c:crosses val="autoZero"/>
        <c:auto val="1"/>
        <c:lblAlgn val="ctr"/>
        <c:lblOffset val="100"/>
        <c:noMultiLvlLbl val="0"/>
      </c:catAx>
      <c:valAx>
        <c:axId val="5923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4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536575</xdr:colOff>
      <xdr:row>119</xdr:row>
      <xdr:rowOff>76200</xdr:rowOff>
    </xdr:from>
    <xdr:to>
      <xdr:col>14</xdr:col>
      <xdr:colOff>231775</xdr:colOff>
      <xdr:row>133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F4BF6C-DE3F-0996-4127-57D7FE672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S122"/>
  <sheetViews>
    <sheetView topLeftCell="A106" zoomScale="85" workbookViewId="0">
      <selection activeCell="O122" sqref="O122"/>
    </sheetView>
  </sheetViews>
  <sheetFormatPr defaultRowHeight="14.5" x14ac:dyDescent="0.35"/>
  <cols>
    <col min="3" max="3" width="13.81640625" customWidth="1"/>
    <col min="4" max="4" width="13.26953125" customWidth="1"/>
    <col min="5" max="5" width="11.1796875" customWidth="1"/>
    <col min="6" max="6" width="13.26953125" customWidth="1"/>
    <col min="7" max="7" width="11.81640625" customWidth="1"/>
    <col min="10" max="10" width="14" customWidth="1"/>
    <col min="11" max="11" width="12.1796875" customWidth="1"/>
    <col min="12" max="12" width="13.7265625" customWidth="1"/>
    <col min="13" max="13" width="11.26953125" customWidth="1"/>
    <col min="14" max="14" width="11.54296875" customWidth="1"/>
    <col min="15" max="15" width="13.26953125" customWidth="1"/>
    <col min="17" max="17" width="14.1796875" customWidth="1"/>
    <col min="18" max="18" width="13.26953125" customWidth="1"/>
  </cols>
  <sheetData>
    <row r="6" spans="3:19" ht="15" thickBot="1" x14ac:dyDescent="0.4">
      <c r="C6" t="s">
        <v>0</v>
      </c>
    </row>
    <row r="7" spans="3:19" ht="16" thickBot="1" x14ac:dyDescent="0.4">
      <c r="C7" s="1"/>
      <c r="D7" s="2" t="s">
        <v>39</v>
      </c>
      <c r="E7" s="2" t="s">
        <v>1</v>
      </c>
      <c r="F7" s="2" t="s">
        <v>2</v>
      </c>
      <c r="G7" s="2" t="s">
        <v>3</v>
      </c>
      <c r="H7" s="2" t="s">
        <v>4</v>
      </c>
      <c r="I7" s="2"/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R7" s="1" t="s">
        <v>11</v>
      </c>
      <c r="S7" s="1">
        <v>662</v>
      </c>
    </row>
    <row r="8" spans="3:19" ht="15" thickBot="1" x14ac:dyDescent="0.4">
      <c r="C8" s="1" t="s">
        <v>11</v>
      </c>
      <c r="D8" s="1">
        <v>10</v>
      </c>
      <c r="E8" s="1">
        <v>58</v>
      </c>
      <c r="F8" s="1">
        <v>50</v>
      </c>
      <c r="G8" s="1">
        <v>49</v>
      </c>
      <c r="H8" s="1">
        <v>89</v>
      </c>
      <c r="I8" s="1"/>
      <c r="J8" s="1">
        <v>160</v>
      </c>
      <c r="K8" s="1">
        <v>130</v>
      </c>
      <c r="L8" s="1">
        <v>35</v>
      </c>
      <c r="M8" s="3">
        <v>16</v>
      </c>
      <c r="N8" s="1">
        <v>65</v>
      </c>
      <c r="O8" s="1"/>
      <c r="R8" s="1" t="s">
        <v>12</v>
      </c>
      <c r="S8" s="1">
        <v>668</v>
      </c>
    </row>
    <row r="9" spans="3:19" ht="15" thickBot="1" x14ac:dyDescent="0.4">
      <c r="C9" s="1" t="s">
        <v>12</v>
      </c>
      <c r="D9" s="1">
        <v>10</v>
      </c>
      <c r="E9" s="1">
        <v>60</v>
      </c>
      <c r="F9" s="1">
        <v>50</v>
      </c>
      <c r="G9" s="1">
        <v>50</v>
      </c>
      <c r="H9" s="1">
        <v>92</v>
      </c>
      <c r="I9" s="1"/>
      <c r="J9" s="1">
        <v>160</v>
      </c>
      <c r="K9" s="1">
        <v>130</v>
      </c>
      <c r="L9" s="1">
        <v>35</v>
      </c>
      <c r="M9" s="3">
        <v>16</v>
      </c>
      <c r="N9" s="1">
        <v>65</v>
      </c>
      <c r="O9" s="1"/>
      <c r="R9" s="1" t="s">
        <v>13</v>
      </c>
      <c r="S9" s="4">
        <v>0.99</v>
      </c>
    </row>
    <row r="10" spans="3:19" ht="15" thickBot="1" x14ac:dyDescent="0.4">
      <c r="C10" s="1" t="s">
        <v>13</v>
      </c>
      <c r="D10" s="4">
        <v>1</v>
      </c>
      <c r="E10" s="4">
        <v>0.96</v>
      </c>
      <c r="F10" s="4">
        <v>1</v>
      </c>
      <c r="G10" s="4">
        <v>0.98</v>
      </c>
      <c r="H10" s="4">
        <v>0.98</v>
      </c>
      <c r="I10" s="1"/>
      <c r="J10" s="4">
        <v>1</v>
      </c>
      <c r="K10" s="4">
        <v>1</v>
      </c>
      <c r="L10" s="4">
        <v>1</v>
      </c>
      <c r="M10" s="6">
        <v>1</v>
      </c>
      <c r="N10" s="4">
        <v>1</v>
      </c>
      <c r="O10" s="1"/>
    </row>
    <row r="11" spans="3:19" x14ac:dyDescent="0.35">
      <c r="E11" s="9"/>
    </row>
    <row r="12" spans="3:19" ht="15" thickBot="1" x14ac:dyDescent="0.4">
      <c r="C12" t="s">
        <v>14</v>
      </c>
    </row>
    <row r="13" spans="3:19" ht="16" thickBot="1" x14ac:dyDescent="0.4">
      <c r="C13" s="1"/>
      <c r="D13" s="2" t="s">
        <v>39</v>
      </c>
      <c r="E13" s="2" t="s">
        <v>1</v>
      </c>
      <c r="F13" s="2" t="s">
        <v>2</v>
      </c>
      <c r="G13" s="2" t="s">
        <v>3</v>
      </c>
      <c r="H13" s="2" t="s">
        <v>4</v>
      </c>
      <c r="I13" s="2"/>
      <c r="J13" s="2" t="s">
        <v>5</v>
      </c>
      <c r="K13" s="2" t="s">
        <v>6</v>
      </c>
      <c r="L13" s="2" t="s">
        <v>7</v>
      </c>
      <c r="M13" s="2" t="s">
        <v>8</v>
      </c>
      <c r="N13" s="2" t="s">
        <v>9</v>
      </c>
      <c r="O13" s="2" t="s">
        <v>10</v>
      </c>
      <c r="R13" s="1" t="s">
        <v>11</v>
      </c>
      <c r="S13" s="1">
        <v>408</v>
      </c>
    </row>
    <row r="14" spans="3:19" ht="15" thickBot="1" x14ac:dyDescent="0.4">
      <c r="C14" s="1" t="s">
        <v>11</v>
      </c>
      <c r="D14" s="1"/>
      <c r="E14" s="1">
        <v>70</v>
      </c>
      <c r="F14" s="1">
        <v>14</v>
      </c>
      <c r="G14" s="1">
        <v>46</v>
      </c>
      <c r="H14" s="1">
        <v>10</v>
      </c>
      <c r="I14" s="1"/>
      <c r="J14" s="1">
        <v>57</v>
      </c>
      <c r="K14" s="1">
        <v>37</v>
      </c>
      <c r="L14" s="1">
        <v>9</v>
      </c>
      <c r="M14" s="3">
        <v>26</v>
      </c>
      <c r="N14" s="1">
        <v>139</v>
      </c>
      <c r="O14" s="1"/>
      <c r="R14" s="1" t="s">
        <v>12</v>
      </c>
      <c r="S14" s="1">
        <v>412</v>
      </c>
    </row>
    <row r="15" spans="3:19" ht="15" thickBot="1" x14ac:dyDescent="0.4">
      <c r="C15" s="1" t="s">
        <v>12</v>
      </c>
      <c r="D15" s="1"/>
      <c r="E15" s="1">
        <v>70</v>
      </c>
      <c r="F15" s="1">
        <v>14</v>
      </c>
      <c r="G15" s="1">
        <v>46</v>
      </c>
      <c r="H15" s="1">
        <v>10</v>
      </c>
      <c r="I15" s="1"/>
      <c r="J15" s="1">
        <v>57</v>
      </c>
      <c r="K15" s="1">
        <v>38</v>
      </c>
      <c r="L15" s="1">
        <v>11</v>
      </c>
      <c r="M15" s="3">
        <v>27</v>
      </c>
      <c r="N15" s="1">
        <v>139</v>
      </c>
      <c r="O15" s="1"/>
      <c r="R15" s="1" t="s">
        <v>13</v>
      </c>
      <c r="S15" s="4">
        <v>0.99</v>
      </c>
    </row>
    <row r="16" spans="3:19" ht="15" thickBot="1" x14ac:dyDescent="0.4">
      <c r="C16" s="1" t="s">
        <v>13</v>
      </c>
      <c r="D16" s="1"/>
      <c r="E16" s="4">
        <v>1</v>
      </c>
      <c r="F16" s="4">
        <v>1</v>
      </c>
      <c r="G16" s="4">
        <v>1</v>
      </c>
      <c r="H16" s="4">
        <v>1</v>
      </c>
      <c r="I16" s="1"/>
      <c r="J16" s="4">
        <v>1</v>
      </c>
      <c r="K16" s="4">
        <v>0.97</v>
      </c>
      <c r="L16" s="4">
        <v>0.81</v>
      </c>
      <c r="M16" s="6">
        <v>0.96</v>
      </c>
      <c r="N16" s="4">
        <v>1</v>
      </c>
      <c r="O16" s="1"/>
    </row>
    <row r="18" spans="3:19" ht="15" thickBot="1" x14ac:dyDescent="0.4">
      <c r="C18" t="s">
        <v>15</v>
      </c>
    </row>
    <row r="19" spans="3:19" ht="16" thickBot="1" x14ac:dyDescent="0.4">
      <c r="C19" s="1"/>
      <c r="D19" s="2" t="s">
        <v>39</v>
      </c>
      <c r="E19" s="13" t="s">
        <v>1</v>
      </c>
      <c r="F19" s="2" t="s">
        <v>2</v>
      </c>
      <c r="G19" s="13" t="s">
        <v>3</v>
      </c>
      <c r="H19" s="12" t="s">
        <v>4</v>
      </c>
      <c r="I19" s="12"/>
      <c r="J19" s="2" t="s">
        <v>5</v>
      </c>
      <c r="K19" s="2" t="s">
        <v>6</v>
      </c>
      <c r="L19" s="13" t="s">
        <v>7</v>
      </c>
      <c r="M19" s="2" t="s">
        <v>8</v>
      </c>
      <c r="N19" s="13" t="s">
        <v>9</v>
      </c>
      <c r="O19" s="2" t="s">
        <v>10</v>
      </c>
      <c r="R19" s="1" t="s">
        <v>11</v>
      </c>
      <c r="S19" s="1">
        <v>551</v>
      </c>
    </row>
    <row r="20" spans="3:19" ht="15" thickBot="1" x14ac:dyDescent="0.4">
      <c r="C20" s="1" t="s">
        <v>11</v>
      </c>
      <c r="D20" s="1">
        <v>36</v>
      </c>
      <c r="E20" s="1">
        <v>8</v>
      </c>
      <c r="F20" s="1">
        <v>56</v>
      </c>
      <c r="G20" s="1">
        <v>214</v>
      </c>
      <c r="H20" s="1">
        <v>139</v>
      </c>
      <c r="I20" s="1"/>
      <c r="J20" s="1">
        <v>7</v>
      </c>
      <c r="K20" s="1">
        <v>8</v>
      </c>
      <c r="L20" s="1">
        <v>13</v>
      </c>
      <c r="M20" s="3">
        <v>1</v>
      </c>
      <c r="N20" s="1">
        <v>31</v>
      </c>
      <c r="O20" s="1">
        <v>38</v>
      </c>
      <c r="R20" s="1" t="s">
        <v>12</v>
      </c>
      <c r="S20" s="1">
        <v>554</v>
      </c>
    </row>
    <row r="21" spans="3:19" ht="15" thickBot="1" x14ac:dyDescent="0.4">
      <c r="C21" s="1" t="s">
        <v>12</v>
      </c>
      <c r="D21" s="1">
        <v>39</v>
      </c>
      <c r="E21" s="1">
        <v>8</v>
      </c>
      <c r="F21" s="1">
        <v>56</v>
      </c>
      <c r="G21" s="1">
        <v>214</v>
      </c>
      <c r="H21" s="1">
        <v>139</v>
      </c>
      <c r="I21" s="1"/>
      <c r="J21" s="1">
        <v>7</v>
      </c>
      <c r="K21" s="1">
        <v>8</v>
      </c>
      <c r="L21" s="1">
        <v>13</v>
      </c>
      <c r="M21" s="3">
        <v>1</v>
      </c>
      <c r="N21" s="1">
        <v>31</v>
      </c>
      <c r="O21" s="1">
        <v>38</v>
      </c>
      <c r="R21" s="1" t="s">
        <v>13</v>
      </c>
      <c r="S21" s="4">
        <f>S19/S20</f>
        <v>0.99458483754512639</v>
      </c>
    </row>
    <row r="22" spans="3:19" ht="15" thickBot="1" x14ac:dyDescent="0.4">
      <c r="C22" s="1" t="s">
        <v>13</v>
      </c>
      <c r="D22" s="5">
        <v>0.93</v>
      </c>
      <c r="E22" s="5">
        <v>1</v>
      </c>
      <c r="F22" s="5">
        <f>F20/F21</f>
        <v>1</v>
      </c>
      <c r="G22" s="5">
        <v>1</v>
      </c>
      <c r="H22" s="5">
        <v>1</v>
      </c>
      <c r="I22" s="5"/>
      <c r="J22" s="4">
        <f>J20/J21</f>
        <v>1</v>
      </c>
      <c r="K22" s="4">
        <f>K20/K21</f>
        <v>1</v>
      </c>
      <c r="L22" s="5">
        <v>1</v>
      </c>
      <c r="M22" s="6">
        <v>1</v>
      </c>
      <c r="N22" s="5">
        <f>N20/N21</f>
        <v>1</v>
      </c>
      <c r="O22" s="4">
        <v>1</v>
      </c>
    </row>
    <row r="24" spans="3:19" ht="15" thickBot="1" x14ac:dyDescent="0.4">
      <c r="C24" t="s">
        <v>16</v>
      </c>
    </row>
    <row r="25" spans="3:19" ht="15" thickBot="1" x14ac:dyDescent="0.4">
      <c r="C25" s="1"/>
      <c r="D25" s="1" t="s">
        <v>45</v>
      </c>
      <c r="E25" s="1" t="s">
        <v>41</v>
      </c>
      <c r="F25" s="1" t="s">
        <v>42</v>
      </c>
      <c r="G25" s="1" t="s">
        <v>43</v>
      </c>
      <c r="H25" s="1" t="s">
        <v>44</v>
      </c>
      <c r="I25" s="1"/>
      <c r="J25" s="11" t="s">
        <v>18</v>
      </c>
      <c r="K25" s="11" t="s">
        <v>46</v>
      </c>
      <c r="L25" s="11" t="s">
        <v>19</v>
      </c>
      <c r="M25" s="7"/>
      <c r="R25" s="1" t="s">
        <v>11</v>
      </c>
      <c r="S25" s="1">
        <v>171</v>
      </c>
    </row>
    <row r="26" spans="3:19" ht="15" thickBot="1" x14ac:dyDescent="0.4">
      <c r="C26" s="1" t="s">
        <v>11</v>
      </c>
      <c r="D26" s="1">
        <v>42</v>
      </c>
      <c r="E26" s="1">
        <v>30</v>
      </c>
      <c r="F26" s="1">
        <v>47</v>
      </c>
      <c r="G26" s="1">
        <v>13</v>
      </c>
      <c r="H26" s="1">
        <v>23</v>
      </c>
      <c r="I26" s="1"/>
      <c r="J26" s="3"/>
      <c r="K26" s="1">
        <v>16</v>
      </c>
      <c r="L26" s="3"/>
      <c r="M26" s="7"/>
      <c r="R26" s="1" t="s">
        <v>12</v>
      </c>
      <c r="S26" s="1">
        <v>191</v>
      </c>
    </row>
    <row r="27" spans="3:19" ht="15" thickBot="1" x14ac:dyDescent="0.4">
      <c r="C27" s="1" t="s">
        <v>12</v>
      </c>
      <c r="D27" s="1">
        <v>50</v>
      </c>
      <c r="E27" s="1">
        <v>30</v>
      </c>
      <c r="F27" s="1">
        <v>50</v>
      </c>
      <c r="G27" s="1">
        <v>21</v>
      </c>
      <c r="H27" s="1">
        <v>24</v>
      </c>
      <c r="I27" s="1"/>
      <c r="J27" s="3"/>
      <c r="K27" s="1">
        <v>16</v>
      </c>
      <c r="L27" s="3"/>
      <c r="M27" s="7"/>
      <c r="N27" s="8"/>
      <c r="R27" s="1" t="s">
        <v>13</v>
      </c>
      <c r="S27" s="4">
        <f>S25/S26</f>
        <v>0.89528795811518325</v>
      </c>
    </row>
    <row r="28" spans="3:19" ht="15" thickBot="1" x14ac:dyDescent="0.4">
      <c r="C28" s="1" t="s">
        <v>13</v>
      </c>
      <c r="D28" s="4">
        <f>D26/D27</f>
        <v>0.84</v>
      </c>
      <c r="E28" s="4">
        <f>E26/E27</f>
        <v>1</v>
      </c>
      <c r="F28" s="4">
        <f>F26/F27</f>
        <v>0.94</v>
      </c>
      <c r="G28" s="4">
        <f>G26/G27</f>
        <v>0.61904761904761907</v>
      </c>
      <c r="H28" s="4">
        <f>H26/H27</f>
        <v>0.95833333333333337</v>
      </c>
      <c r="I28" s="4"/>
      <c r="J28" s="3"/>
      <c r="K28" s="4">
        <f>K26/K27</f>
        <v>1</v>
      </c>
      <c r="L28" s="3"/>
      <c r="M28" s="7"/>
      <c r="N28" s="8"/>
    </row>
    <row r="30" spans="3:19" ht="15" thickBot="1" x14ac:dyDescent="0.4">
      <c r="C30" t="s">
        <v>20</v>
      </c>
      <c r="N30" s="9"/>
    </row>
    <row r="31" spans="3:19" ht="16" thickBot="1" x14ac:dyDescent="0.4">
      <c r="C31" s="1"/>
      <c r="D31" s="2" t="s">
        <v>39</v>
      </c>
      <c r="E31" s="2" t="s">
        <v>1</v>
      </c>
      <c r="F31" s="2" t="s">
        <v>2</v>
      </c>
      <c r="G31" s="13" t="s">
        <v>3</v>
      </c>
      <c r="H31" s="12" t="s">
        <v>4</v>
      </c>
      <c r="I31" s="12"/>
      <c r="J31" s="13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10"/>
      <c r="R31" s="1" t="s">
        <v>11</v>
      </c>
      <c r="S31" s="1">
        <v>243</v>
      </c>
    </row>
    <row r="32" spans="3:19" ht="15" thickBot="1" x14ac:dyDescent="0.4">
      <c r="C32" s="1" t="s">
        <v>11</v>
      </c>
      <c r="D32" s="1">
        <v>61</v>
      </c>
      <c r="E32" s="1">
        <v>3</v>
      </c>
      <c r="F32" s="1">
        <v>19</v>
      </c>
      <c r="G32" s="1">
        <v>13</v>
      </c>
      <c r="H32" s="3"/>
      <c r="I32" s="3"/>
      <c r="J32" s="1">
        <v>7</v>
      </c>
      <c r="K32" s="1">
        <v>10</v>
      </c>
      <c r="L32" s="1">
        <v>9</v>
      </c>
      <c r="M32" s="3">
        <v>1</v>
      </c>
      <c r="N32" s="1">
        <v>120</v>
      </c>
      <c r="O32" s="7"/>
      <c r="R32" s="1" t="s">
        <v>12</v>
      </c>
      <c r="S32" s="1">
        <v>395</v>
      </c>
    </row>
    <row r="33" spans="3:19" ht="15" thickBot="1" x14ac:dyDescent="0.4">
      <c r="C33" s="1" t="s">
        <v>12</v>
      </c>
      <c r="D33" s="1">
        <v>113</v>
      </c>
      <c r="E33" s="1">
        <v>8</v>
      </c>
      <c r="F33" s="1">
        <v>56</v>
      </c>
      <c r="G33" s="1">
        <v>36</v>
      </c>
      <c r="H33" s="3"/>
      <c r="I33" s="3"/>
      <c r="J33" s="1">
        <v>7</v>
      </c>
      <c r="K33" s="1">
        <v>12</v>
      </c>
      <c r="L33" s="1">
        <v>36</v>
      </c>
      <c r="M33" s="3">
        <v>1</v>
      </c>
      <c r="N33" s="1">
        <v>126</v>
      </c>
      <c r="O33" s="7"/>
      <c r="R33" s="1" t="s">
        <v>13</v>
      </c>
      <c r="S33" s="4">
        <f>S31/S32</f>
        <v>0.61518987341772147</v>
      </c>
    </row>
    <row r="34" spans="3:19" ht="15" thickBot="1" x14ac:dyDescent="0.4">
      <c r="C34" s="1" t="s">
        <v>13</v>
      </c>
      <c r="D34" s="5">
        <f>D32/D33</f>
        <v>0.53982300884955747</v>
      </c>
      <c r="E34" s="5">
        <f>E32/E33</f>
        <v>0.375</v>
      </c>
      <c r="F34" s="4">
        <f>F32/F33</f>
        <v>0.3392857142857143</v>
      </c>
      <c r="G34" s="5">
        <v>0.37</v>
      </c>
      <c r="H34" s="3"/>
      <c r="I34" s="3"/>
      <c r="J34" s="5">
        <f>J32/J33</f>
        <v>1</v>
      </c>
      <c r="K34" s="4">
        <f>K32/K33</f>
        <v>0.83333333333333337</v>
      </c>
      <c r="L34" s="4">
        <f>L32/L33</f>
        <v>0.25</v>
      </c>
      <c r="M34" s="6">
        <v>1</v>
      </c>
      <c r="N34" s="4">
        <f>N32/N33</f>
        <v>0.95238095238095233</v>
      </c>
      <c r="O34" s="7"/>
    </row>
    <row r="36" spans="3:19" ht="15" thickBot="1" x14ac:dyDescent="0.4">
      <c r="C36" t="s">
        <v>21</v>
      </c>
    </row>
    <row r="37" spans="3:19" ht="15" thickBot="1" x14ac:dyDescent="0.4">
      <c r="C37" s="1"/>
      <c r="D37" s="1" t="s">
        <v>10</v>
      </c>
    </row>
    <row r="38" spans="3:19" ht="15" thickBot="1" x14ac:dyDescent="0.4">
      <c r="C38" s="1" t="s">
        <v>11</v>
      </c>
      <c r="D38" s="1">
        <v>14</v>
      </c>
    </row>
    <row r="39" spans="3:19" ht="15" thickBot="1" x14ac:dyDescent="0.4">
      <c r="C39" s="1" t="s">
        <v>12</v>
      </c>
      <c r="D39" s="1">
        <v>14</v>
      </c>
    </row>
    <row r="40" spans="3:19" ht="15" thickBot="1" x14ac:dyDescent="0.4">
      <c r="C40" s="1" t="s">
        <v>13</v>
      </c>
      <c r="D40" s="5">
        <f>D38/D39</f>
        <v>1</v>
      </c>
    </row>
    <row r="42" spans="3:19" ht="15" thickBot="1" x14ac:dyDescent="0.4">
      <c r="C42" t="s">
        <v>22</v>
      </c>
    </row>
    <row r="43" spans="3:19" ht="15" thickBot="1" x14ac:dyDescent="0.4">
      <c r="C43" s="1"/>
      <c r="D43" s="1" t="s">
        <v>23</v>
      </c>
    </row>
    <row r="44" spans="3:19" ht="15" thickBot="1" x14ac:dyDescent="0.4">
      <c r="C44" s="1" t="s">
        <v>11</v>
      </c>
      <c r="D44" s="1">
        <v>4275</v>
      </c>
    </row>
    <row r="45" spans="3:19" ht="15" thickBot="1" x14ac:dyDescent="0.4">
      <c r="C45" s="1" t="s">
        <v>12</v>
      </c>
      <c r="D45" s="1">
        <v>4653</v>
      </c>
    </row>
    <row r="46" spans="3:19" ht="15" thickBot="1" x14ac:dyDescent="0.4">
      <c r="C46" s="1" t="s">
        <v>13</v>
      </c>
      <c r="D46" s="5">
        <f>D44/D45</f>
        <v>0.9187620889748549</v>
      </c>
    </row>
    <row r="48" spans="3:19" ht="15" thickBot="1" x14ac:dyDescent="0.4">
      <c r="C48" t="s">
        <v>24</v>
      </c>
    </row>
    <row r="49" spans="3:19" ht="15" thickBot="1" x14ac:dyDescent="0.4">
      <c r="C49" s="1"/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29</v>
      </c>
      <c r="I49" s="7"/>
      <c r="J49" s="7"/>
      <c r="R49" s="1" t="s">
        <v>11</v>
      </c>
      <c r="S49" s="1"/>
    </row>
    <row r="50" spans="3:19" ht="15" thickBot="1" x14ac:dyDescent="0.4">
      <c r="C50" s="1" t="s">
        <v>11</v>
      </c>
      <c r="D50" s="3"/>
      <c r="E50" s="3"/>
      <c r="F50" s="3"/>
      <c r="G50" s="3"/>
      <c r="H50" s="3"/>
      <c r="I50" s="15"/>
      <c r="J50" s="7"/>
      <c r="R50" s="1" t="s">
        <v>12</v>
      </c>
      <c r="S50" s="1"/>
    </row>
    <row r="51" spans="3:19" ht="15" thickBot="1" x14ac:dyDescent="0.4">
      <c r="C51" s="1" t="s">
        <v>12</v>
      </c>
      <c r="D51" s="3"/>
      <c r="E51" s="3"/>
      <c r="F51" s="3"/>
      <c r="G51" s="3"/>
      <c r="H51" s="3"/>
      <c r="I51" s="15"/>
      <c r="J51" s="7"/>
      <c r="R51" s="1" t="s">
        <v>13</v>
      </c>
      <c r="S51" s="1"/>
    </row>
    <row r="52" spans="3:19" ht="15" thickBot="1" x14ac:dyDescent="0.4">
      <c r="C52" s="1" t="s">
        <v>13</v>
      </c>
      <c r="D52" s="3"/>
      <c r="E52" s="3"/>
      <c r="F52" s="3"/>
      <c r="G52" s="3"/>
      <c r="H52" s="3"/>
      <c r="I52" s="15"/>
      <c r="J52" s="7"/>
    </row>
    <row r="54" spans="3:19" ht="15" thickBot="1" x14ac:dyDescent="0.4">
      <c r="C54" t="s">
        <v>30</v>
      </c>
    </row>
    <row r="55" spans="3:19" ht="16" thickBot="1" x14ac:dyDescent="0.4">
      <c r="C55" s="1"/>
      <c r="D55" s="2" t="s">
        <v>39</v>
      </c>
      <c r="E55" s="2" t="s">
        <v>1</v>
      </c>
      <c r="F55" s="2" t="s">
        <v>2</v>
      </c>
      <c r="G55" s="2" t="s">
        <v>3</v>
      </c>
      <c r="H55" s="2" t="s">
        <v>4</v>
      </c>
      <c r="I55" s="2"/>
      <c r="J55" s="2" t="s">
        <v>5</v>
      </c>
      <c r="K55" s="2" t="s">
        <v>6</v>
      </c>
      <c r="L55" s="2" t="s">
        <v>7</v>
      </c>
      <c r="M55" s="2" t="s">
        <v>8</v>
      </c>
      <c r="N55" s="13" t="s">
        <v>9</v>
      </c>
      <c r="O55" s="10"/>
      <c r="R55" s="1" t="s">
        <v>11</v>
      </c>
      <c r="S55" s="1">
        <v>385</v>
      </c>
    </row>
    <row r="56" spans="3:19" ht="15" thickBot="1" x14ac:dyDescent="0.4">
      <c r="C56" s="1" t="s">
        <v>11</v>
      </c>
      <c r="D56" s="1">
        <v>5</v>
      </c>
      <c r="E56" s="1">
        <v>8</v>
      </c>
      <c r="F56" s="1">
        <v>43</v>
      </c>
      <c r="G56" s="1">
        <v>23</v>
      </c>
      <c r="H56" s="1">
        <v>246</v>
      </c>
      <c r="I56" s="1"/>
      <c r="J56" s="1">
        <v>7</v>
      </c>
      <c r="K56" s="1">
        <v>8</v>
      </c>
      <c r="L56" s="1">
        <v>13</v>
      </c>
      <c r="M56" s="3">
        <v>1</v>
      </c>
      <c r="N56" s="1">
        <v>31</v>
      </c>
      <c r="O56" s="7"/>
      <c r="R56" s="1" t="s">
        <v>12</v>
      </c>
      <c r="S56" s="1">
        <v>463</v>
      </c>
    </row>
    <row r="57" spans="3:19" ht="15" thickBot="1" x14ac:dyDescent="0.4">
      <c r="C57" s="1" t="s">
        <v>12</v>
      </c>
      <c r="D57" s="1">
        <v>5</v>
      </c>
      <c r="E57" s="1">
        <v>8</v>
      </c>
      <c r="F57" s="1">
        <v>56</v>
      </c>
      <c r="G57" s="1">
        <v>23</v>
      </c>
      <c r="H57" s="1">
        <v>311</v>
      </c>
      <c r="I57" s="1"/>
      <c r="J57" s="1">
        <v>7</v>
      </c>
      <c r="K57" s="1">
        <v>8</v>
      </c>
      <c r="L57" s="1">
        <v>13</v>
      </c>
      <c r="M57" s="3">
        <v>1</v>
      </c>
      <c r="N57" s="1">
        <v>31</v>
      </c>
      <c r="O57" s="7"/>
      <c r="R57" s="1" t="s">
        <v>13</v>
      </c>
      <c r="S57" s="4">
        <f>S55/S56</f>
        <v>0.83153347732181426</v>
      </c>
    </row>
    <row r="58" spans="3:19" ht="15" thickBot="1" x14ac:dyDescent="0.4">
      <c r="C58" s="1" t="s">
        <v>13</v>
      </c>
      <c r="D58" s="4">
        <f>D56/D57</f>
        <v>1</v>
      </c>
      <c r="E58" s="5">
        <v>1</v>
      </c>
      <c r="F58" s="5">
        <f>F56/F57</f>
        <v>0.7678571428571429</v>
      </c>
      <c r="G58" s="4">
        <v>1</v>
      </c>
      <c r="H58" s="5">
        <f>H56/H57</f>
        <v>0.79099678456591638</v>
      </c>
      <c r="I58" s="5"/>
      <c r="J58" s="4">
        <f>J56/J57</f>
        <v>1</v>
      </c>
      <c r="K58" s="5">
        <f>K56/K57</f>
        <v>1</v>
      </c>
      <c r="L58" s="4">
        <v>1</v>
      </c>
      <c r="M58" s="6">
        <v>1</v>
      </c>
      <c r="N58" s="4">
        <f>N56/N57</f>
        <v>1</v>
      </c>
      <c r="O58" s="7"/>
    </row>
    <row r="60" spans="3:19" ht="15" thickBot="1" x14ac:dyDescent="0.4">
      <c r="C60" t="s">
        <v>31</v>
      </c>
    </row>
    <row r="61" spans="3:19" ht="15" thickBot="1" x14ac:dyDescent="0.4">
      <c r="C61" s="1"/>
      <c r="D61" s="1" t="s">
        <v>32</v>
      </c>
    </row>
    <row r="62" spans="3:19" ht="15" thickBot="1" x14ac:dyDescent="0.4">
      <c r="C62" s="1" t="s">
        <v>11</v>
      </c>
      <c r="D62" s="1">
        <v>2</v>
      </c>
    </row>
    <row r="63" spans="3:19" ht="15" thickBot="1" x14ac:dyDescent="0.4">
      <c r="C63" s="1" t="s">
        <v>12</v>
      </c>
      <c r="D63" s="1">
        <v>2</v>
      </c>
    </row>
    <row r="64" spans="3:19" ht="15" thickBot="1" x14ac:dyDescent="0.4">
      <c r="C64" s="1" t="s">
        <v>13</v>
      </c>
      <c r="D64" s="5">
        <f>D62/D63</f>
        <v>1</v>
      </c>
    </row>
    <row r="67" spans="3:15" ht="15" thickBot="1" x14ac:dyDescent="0.4">
      <c r="C67" t="s">
        <v>33</v>
      </c>
    </row>
    <row r="68" spans="3:15" ht="15" thickBot="1" x14ac:dyDescent="0.4">
      <c r="C68" s="1"/>
      <c r="D68" s="1" t="s">
        <v>39</v>
      </c>
      <c r="E68" s="1" t="s">
        <v>3</v>
      </c>
      <c r="F68" s="14" t="s">
        <v>2</v>
      </c>
      <c r="G68" s="14" t="s">
        <v>1</v>
      </c>
      <c r="H68" s="11" t="s">
        <v>17</v>
      </c>
      <c r="I68" s="11" t="s">
        <v>5</v>
      </c>
      <c r="J68" s="11" t="s">
        <v>18</v>
      </c>
      <c r="K68" s="1" t="s">
        <v>6</v>
      </c>
      <c r="L68" s="14" t="s">
        <v>7</v>
      </c>
      <c r="M68" s="11" t="s">
        <v>9</v>
      </c>
      <c r="N68" s="11" t="s">
        <v>19</v>
      </c>
      <c r="O68" s="1" t="s">
        <v>8</v>
      </c>
    </row>
    <row r="69" spans="3:15" ht="15" thickBot="1" x14ac:dyDescent="0.4">
      <c r="C69" s="1" t="s">
        <v>11</v>
      </c>
      <c r="D69" s="1">
        <v>39</v>
      </c>
      <c r="E69" s="1">
        <v>17</v>
      </c>
      <c r="F69" s="1">
        <v>53</v>
      </c>
      <c r="G69" s="1">
        <v>8</v>
      </c>
      <c r="H69" s="1"/>
      <c r="I69" s="1"/>
      <c r="J69" s="3"/>
      <c r="K69" s="1">
        <v>8</v>
      </c>
      <c r="L69" s="1">
        <v>26</v>
      </c>
      <c r="M69" s="1">
        <v>31</v>
      </c>
      <c r="N69" s="3"/>
      <c r="O69" s="1">
        <v>1</v>
      </c>
    </row>
    <row r="70" spans="3:15" ht="15" thickBot="1" x14ac:dyDescent="0.4">
      <c r="C70" s="1" t="s">
        <v>12</v>
      </c>
      <c r="D70" s="1">
        <v>39</v>
      </c>
      <c r="E70" s="1">
        <v>17</v>
      </c>
      <c r="F70" s="1">
        <v>56</v>
      </c>
      <c r="G70" s="1">
        <v>8</v>
      </c>
      <c r="H70" s="1"/>
      <c r="I70" s="1"/>
      <c r="J70" s="3"/>
      <c r="K70" s="1">
        <v>8</v>
      </c>
      <c r="L70" s="1">
        <v>26</v>
      </c>
      <c r="M70" s="1">
        <v>31</v>
      </c>
      <c r="N70" s="3"/>
      <c r="O70" s="1">
        <v>1</v>
      </c>
    </row>
    <row r="71" spans="3:15" ht="15" thickBot="1" x14ac:dyDescent="0.4">
      <c r="C71" s="1" t="s">
        <v>13</v>
      </c>
      <c r="D71" s="4">
        <f>D69/D70</f>
        <v>1</v>
      </c>
      <c r="E71" s="4">
        <f>E69/E70</f>
        <v>1</v>
      </c>
      <c r="F71" s="4">
        <f>F69/F70</f>
        <v>0.9464285714285714</v>
      </c>
      <c r="G71" s="4">
        <f>G69/G70</f>
        <v>1</v>
      </c>
      <c r="H71" s="4" t="e">
        <f>H69/H70</f>
        <v>#DIV/0!</v>
      </c>
      <c r="I71" s="4"/>
      <c r="J71" s="3"/>
      <c r="K71" s="4">
        <f>K69/K70</f>
        <v>1</v>
      </c>
      <c r="L71" s="4">
        <f>L69/L70</f>
        <v>1</v>
      </c>
      <c r="M71" s="4">
        <f>M69/M70</f>
        <v>1</v>
      </c>
      <c r="N71" s="3"/>
      <c r="O71" s="4">
        <f>O69/O70</f>
        <v>1</v>
      </c>
    </row>
    <row r="73" spans="3:15" ht="15" thickBot="1" x14ac:dyDescent="0.4">
      <c r="C73" t="s">
        <v>34</v>
      </c>
    </row>
    <row r="74" spans="3:15" ht="15" thickBot="1" x14ac:dyDescent="0.4">
      <c r="C74" s="1"/>
      <c r="D74" s="1" t="s">
        <v>39</v>
      </c>
      <c r="E74" s="11" t="s">
        <v>3</v>
      </c>
      <c r="F74" s="14" t="s">
        <v>2</v>
      </c>
      <c r="G74" s="1" t="s">
        <v>1</v>
      </c>
      <c r="H74" s="11" t="s">
        <v>17</v>
      </c>
      <c r="I74" s="14" t="s">
        <v>9</v>
      </c>
      <c r="J74" s="1" t="s">
        <v>4</v>
      </c>
      <c r="K74" s="11" t="s">
        <v>6</v>
      </c>
      <c r="L74" s="11" t="s">
        <v>7</v>
      </c>
      <c r="M74" s="11" t="s">
        <v>5</v>
      </c>
      <c r="N74" s="11" t="s">
        <v>19</v>
      </c>
      <c r="O74" s="1" t="s">
        <v>8</v>
      </c>
    </row>
    <row r="75" spans="3:15" ht="15" thickBot="1" x14ac:dyDescent="0.4">
      <c r="C75" s="1" t="s">
        <v>11</v>
      </c>
      <c r="D75" s="1">
        <v>135</v>
      </c>
      <c r="E75" s="1">
        <v>214</v>
      </c>
      <c r="F75" s="1">
        <v>56</v>
      </c>
      <c r="G75" s="1">
        <v>26</v>
      </c>
      <c r="H75" s="1"/>
      <c r="I75" s="1">
        <v>31</v>
      </c>
      <c r="J75" s="3">
        <v>139</v>
      </c>
      <c r="K75" s="1">
        <v>47</v>
      </c>
      <c r="L75" s="1">
        <v>50</v>
      </c>
      <c r="M75" s="1">
        <v>7</v>
      </c>
      <c r="N75" s="3"/>
      <c r="O75" s="1">
        <v>1</v>
      </c>
    </row>
    <row r="76" spans="3:15" ht="15" thickBot="1" x14ac:dyDescent="0.4">
      <c r="C76" s="1" t="s">
        <v>12</v>
      </c>
      <c r="D76" s="1">
        <v>153</v>
      </c>
      <c r="E76" s="1">
        <v>214</v>
      </c>
      <c r="F76" s="1">
        <v>56</v>
      </c>
      <c r="G76" s="1">
        <v>26</v>
      </c>
      <c r="H76" s="1"/>
      <c r="I76" s="1">
        <v>31</v>
      </c>
      <c r="J76" s="3">
        <v>139</v>
      </c>
      <c r="K76" s="1">
        <v>53</v>
      </c>
      <c r="L76" s="1">
        <v>50</v>
      </c>
      <c r="M76" s="1">
        <v>7</v>
      </c>
      <c r="N76" s="3"/>
      <c r="O76" s="1">
        <v>1</v>
      </c>
    </row>
    <row r="77" spans="3:15" ht="15" thickBot="1" x14ac:dyDescent="0.4">
      <c r="C77" s="1" t="s">
        <v>13</v>
      </c>
      <c r="D77" s="4">
        <f t="shared" ref="D77:H77" si="0">D75/D76</f>
        <v>0.88235294117647056</v>
      </c>
      <c r="E77" s="4">
        <f t="shared" si="0"/>
        <v>1</v>
      </c>
      <c r="F77" s="4">
        <f t="shared" si="0"/>
        <v>1</v>
      </c>
      <c r="G77" s="4">
        <f t="shared" si="0"/>
        <v>1</v>
      </c>
      <c r="H77" s="4" t="e">
        <f t="shared" si="0"/>
        <v>#DIV/0!</v>
      </c>
      <c r="I77" s="4">
        <f>I75/I76</f>
        <v>1</v>
      </c>
      <c r="J77" s="6">
        <f>J75/J76</f>
        <v>1</v>
      </c>
      <c r="K77" s="4">
        <f>K75/K76</f>
        <v>0.8867924528301887</v>
      </c>
      <c r="L77" s="4">
        <f>L75/L76</f>
        <v>1</v>
      </c>
      <c r="M77" s="4">
        <f>M75/M76</f>
        <v>1</v>
      </c>
      <c r="N77" s="3"/>
      <c r="O77" s="4">
        <f>O75/O76</f>
        <v>1</v>
      </c>
    </row>
    <row r="79" spans="3:15" ht="15" thickBot="1" x14ac:dyDescent="0.4">
      <c r="C79" t="s">
        <v>35</v>
      </c>
    </row>
    <row r="80" spans="3:15" ht="15" thickBot="1" x14ac:dyDescent="0.4">
      <c r="C80" s="1"/>
      <c r="D80" s="1" t="s">
        <v>39</v>
      </c>
      <c r="E80" s="1" t="s">
        <v>3</v>
      </c>
      <c r="F80" s="11" t="s">
        <v>2</v>
      </c>
      <c r="G80" s="1" t="s">
        <v>1</v>
      </c>
      <c r="H80" s="11" t="s">
        <v>17</v>
      </c>
      <c r="I80" s="11" t="s">
        <v>4</v>
      </c>
      <c r="J80" s="11" t="s">
        <v>18</v>
      </c>
      <c r="K80" s="1" t="s">
        <v>6</v>
      </c>
      <c r="L80" s="14" t="s">
        <v>7</v>
      </c>
      <c r="M80" s="11" t="s">
        <v>9</v>
      </c>
      <c r="N80" s="11" t="s">
        <v>19</v>
      </c>
      <c r="O80" s="1" t="s">
        <v>8</v>
      </c>
    </row>
    <row r="81" spans="3:15" ht="15" thickBot="1" x14ac:dyDescent="0.4">
      <c r="C81" s="1" t="s">
        <v>11</v>
      </c>
      <c r="D81" s="1">
        <v>39</v>
      </c>
      <c r="E81" s="1">
        <v>20</v>
      </c>
      <c r="F81" s="1">
        <v>56</v>
      </c>
      <c r="G81" s="1">
        <v>8</v>
      </c>
      <c r="H81" s="1"/>
      <c r="I81" s="1"/>
      <c r="J81" s="3"/>
      <c r="K81" s="1">
        <v>16</v>
      </c>
      <c r="L81" s="1">
        <v>18</v>
      </c>
      <c r="M81" s="1">
        <v>69</v>
      </c>
      <c r="N81" s="3"/>
      <c r="O81" s="1">
        <v>1</v>
      </c>
    </row>
    <row r="82" spans="3:15" ht="15" thickBot="1" x14ac:dyDescent="0.4">
      <c r="C82" s="1" t="s">
        <v>12</v>
      </c>
      <c r="D82" s="1">
        <v>39</v>
      </c>
      <c r="E82" s="1">
        <v>24</v>
      </c>
      <c r="F82" s="1">
        <v>56</v>
      </c>
      <c r="G82" s="1">
        <v>8</v>
      </c>
      <c r="H82" s="1"/>
      <c r="I82" s="1"/>
      <c r="J82" s="3"/>
      <c r="K82" s="1">
        <v>18</v>
      </c>
      <c r="L82" s="1">
        <v>18</v>
      </c>
      <c r="M82" s="1">
        <v>69</v>
      </c>
      <c r="N82" s="3"/>
      <c r="O82" s="1">
        <v>1</v>
      </c>
    </row>
    <row r="83" spans="3:15" ht="15" thickBot="1" x14ac:dyDescent="0.4">
      <c r="C83" s="1" t="s">
        <v>13</v>
      </c>
      <c r="D83" s="4">
        <f>D81/D82</f>
        <v>1</v>
      </c>
      <c r="E83" s="4">
        <f>E81/E82</f>
        <v>0.83333333333333337</v>
      </c>
      <c r="F83" s="4">
        <f>F81/F82</f>
        <v>1</v>
      </c>
      <c r="G83" s="4">
        <f>G81/G82</f>
        <v>1</v>
      </c>
      <c r="H83" s="4" t="e">
        <f>H81/H82</f>
        <v>#DIV/0!</v>
      </c>
      <c r="I83" s="4"/>
      <c r="J83" s="3"/>
      <c r="K83" s="4">
        <f>K81/K82</f>
        <v>0.88888888888888884</v>
      </c>
      <c r="L83" s="4">
        <f>L81/L82</f>
        <v>1</v>
      </c>
      <c r="M83" s="4">
        <f>M81/M82</f>
        <v>1</v>
      </c>
      <c r="N83" s="3"/>
      <c r="O83" s="4">
        <f>O81/O82</f>
        <v>1</v>
      </c>
    </row>
    <row r="86" spans="3:15" ht="15" thickBot="1" x14ac:dyDescent="0.4">
      <c r="C86" t="s">
        <v>36</v>
      </c>
    </row>
    <row r="87" spans="3:15" ht="15" thickBot="1" x14ac:dyDescent="0.4">
      <c r="C87" s="1"/>
      <c r="D87" s="11" t="s">
        <v>39</v>
      </c>
      <c r="E87" s="1" t="s">
        <v>3</v>
      </c>
      <c r="F87" s="11" t="s">
        <v>2</v>
      </c>
      <c r="G87" s="1" t="s">
        <v>1</v>
      </c>
      <c r="H87" s="11" t="s">
        <v>17</v>
      </c>
      <c r="I87" s="11" t="s">
        <v>4</v>
      </c>
      <c r="J87" s="11" t="s">
        <v>18</v>
      </c>
      <c r="K87" s="11" t="s">
        <v>6</v>
      </c>
      <c r="L87" s="11" t="s">
        <v>7</v>
      </c>
      <c r="M87" s="11" t="s">
        <v>6</v>
      </c>
      <c r="N87" s="11" t="s">
        <v>19</v>
      </c>
    </row>
    <row r="88" spans="3:15" ht="15" thickBot="1" x14ac:dyDescent="0.4">
      <c r="C88" s="1" t="s">
        <v>11</v>
      </c>
      <c r="D88" s="1"/>
      <c r="E88" s="1">
        <v>4</v>
      </c>
      <c r="F88" s="1"/>
      <c r="G88" s="1">
        <v>3</v>
      </c>
      <c r="H88" s="1"/>
      <c r="I88" s="1"/>
      <c r="J88" s="3"/>
      <c r="K88" s="1"/>
      <c r="L88" s="1"/>
      <c r="M88" s="1"/>
      <c r="N88" s="3"/>
    </row>
    <row r="89" spans="3:15" ht="15" thickBot="1" x14ac:dyDescent="0.4">
      <c r="C89" s="1" t="s">
        <v>12</v>
      </c>
      <c r="D89" s="1"/>
      <c r="E89" s="1">
        <v>17</v>
      </c>
      <c r="F89" s="1"/>
      <c r="G89" s="1">
        <v>8</v>
      </c>
      <c r="H89" s="1"/>
      <c r="I89" s="1"/>
      <c r="J89" s="3"/>
      <c r="K89" s="1"/>
      <c r="L89" s="1"/>
      <c r="M89" s="1"/>
      <c r="N89" s="3"/>
    </row>
    <row r="90" spans="3:15" ht="15" thickBot="1" x14ac:dyDescent="0.4">
      <c r="C90" s="1" t="s">
        <v>13</v>
      </c>
      <c r="D90" s="4" t="e">
        <f>D88/D89</f>
        <v>#DIV/0!</v>
      </c>
      <c r="E90" s="4">
        <f>E88/E89</f>
        <v>0.23529411764705882</v>
      </c>
      <c r="F90" s="4" t="e">
        <f>F88/F89</f>
        <v>#DIV/0!</v>
      </c>
      <c r="G90" s="4">
        <v>0.38</v>
      </c>
      <c r="H90" s="4" t="e">
        <f>H88/H89</f>
        <v>#DIV/0!</v>
      </c>
      <c r="I90" s="4"/>
      <c r="J90" s="3"/>
      <c r="K90" s="4">
        <v>1</v>
      </c>
      <c r="L90" s="4"/>
      <c r="M90" s="4"/>
      <c r="N90" s="3"/>
    </row>
    <row r="93" spans="3:15" ht="15" thickBot="1" x14ac:dyDescent="0.4">
      <c r="C93" t="s">
        <v>37</v>
      </c>
    </row>
    <row r="94" spans="3:15" ht="15" thickBot="1" x14ac:dyDescent="0.4">
      <c r="C94" s="1"/>
      <c r="D94" s="11" t="s">
        <v>39</v>
      </c>
      <c r="E94" s="1" t="s">
        <v>3</v>
      </c>
      <c r="F94" s="11" t="s">
        <v>2</v>
      </c>
      <c r="G94" s="11" t="s">
        <v>1</v>
      </c>
      <c r="H94" s="1" t="s">
        <v>17</v>
      </c>
      <c r="I94" s="1" t="s">
        <v>4</v>
      </c>
      <c r="J94" s="11" t="s">
        <v>18</v>
      </c>
      <c r="K94" s="1" t="s">
        <v>6</v>
      </c>
      <c r="L94" s="14" t="s">
        <v>7</v>
      </c>
      <c r="M94" s="11" t="s">
        <v>9</v>
      </c>
      <c r="N94" s="11" t="s">
        <v>19</v>
      </c>
    </row>
    <row r="95" spans="3:15" ht="15" thickBot="1" x14ac:dyDescent="0.4">
      <c r="C95" s="1" t="s">
        <v>11</v>
      </c>
      <c r="D95" s="1"/>
      <c r="E95" s="1">
        <v>12</v>
      </c>
      <c r="F95" s="1"/>
      <c r="G95" s="1"/>
      <c r="H95" s="1">
        <v>15</v>
      </c>
      <c r="I95" s="1">
        <v>54</v>
      </c>
      <c r="J95" s="3"/>
      <c r="K95" s="1"/>
      <c r="L95" s="1">
        <v>13</v>
      </c>
      <c r="M95" s="1"/>
      <c r="N95" s="3"/>
    </row>
    <row r="96" spans="3:15" ht="15" thickBot="1" x14ac:dyDescent="0.4">
      <c r="C96" s="1" t="s">
        <v>12</v>
      </c>
      <c r="D96" s="1"/>
      <c r="E96" s="1">
        <v>17</v>
      </c>
      <c r="F96" s="1"/>
      <c r="G96" s="1"/>
      <c r="H96" s="1">
        <v>17</v>
      </c>
      <c r="I96" s="1">
        <v>128</v>
      </c>
      <c r="J96" s="3"/>
      <c r="K96" s="1"/>
      <c r="L96" s="1">
        <v>13</v>
      </c>
      <c r="M96" s="1"/>
      <c r="N96" s="3"/>
    </row>
    <row r="97" spans="3:14" ht="15" thickBot="1" x14ac:dyDescent="0.4">
      <c r="C97" s="1" t="s">
        <v>13</v>
      </c>
      <c r="D97" s="4" t="e">
        <f t="shared" ref="D97:I97" si="1">D95/D96</f>
        <v>#DIV/0!</v>
      </c>
      <c r="E97" s="4">
        <f t="shared" si="1"/>
        <v>0.70588235294117652</v>
      </c>
      <c r="F97" s="4" t="e">
        <f t="shared" si="1"/>
        <v>#DIV/0!</v>
      </c>
      <c r="G97" s="4" t="e">
        <f t="shared" si="1"/>
        <v>#DIV/0!</v>
      </c>
      <c r="H97" s="4">
        <f t="shared" si="1"/>
        <v>0.88235294117647056</v>
      </c>
      <c r="I97" s="4">
        <f t="shared" si="1"/>
        <v>0.421875</v>
      </c>
      <c r="J97" s="3"/>
      <c r="K97" s="4"/>
      <c r="L97" s="4">
        <f>L95/L96</f>
        <v>1</v>
      </c>
      <c r="M97" s="4"/>
      <c r="N97" s="3"/>
    </row>
    <row r="100" spans="3:14" ht="15" thickBot="1" x14ac:dyDescent="0.4">
      <c r="C100" t="s">
        <v>38</v>
      </c>
    </row>
    <row r="101" spans="3:14" ht="15" thickBot="1" x14ac:dyDescent="0.4">
      <c r="C101" s="1"/>
      <c r="D101" s="11" t="s">
        <v>40</v>
      </c>
      <c r="E101" s="11" t="s">
        <v>41</v>
      </c>
      <c r="F101" s="11" t="s">
        <v>42</v>
      </c>
      <c r="G101" s="11" t="s">
        <v>43</v>
      </c>
      <c r="H101" s="1" t="s">
        <v>44</v>
      </c>
      <c r="I101" s="11" t="s">
        <v>18</v>
      </c>
      <c r="J101" s="11" t="s">
        <v>4</v>
      </c>
      <c r="K101" s="11" t="s">
        <v>9</v>
      </c>
      <c r="L101" s="1" t="s">
        <v>6</v>
      </c>
      <c r="M101" s="11" t="s">
        <v>7</v>
      </c>
      <c r="N101" s="11" t="s">
        <v>19</v>
      </c>
    </row>
    <row r="102" spans="3:14" ht="15" thickBot="1" x14ac:dyDescent="0.4">
      <c r="C102" s="1" t="s">
        <v>11</v>
      </c>
      <c r="D102" s="1"/>
      <c r="E102" s="1"/>
      <c r="F102" s="1"/>
      <c r="G102" s="1"/>
      <c r="H102" s="1">
        <v>20</v>
      </c>
      <c r="I102" s="3"/>
      <c r="J102" s="3"/>
      <c r="K102" s="3"/>
      <c r="L102" s="1">
        <v>0</v>
      </c>
      <c r="M102" s="1"/>
      <c r="N102" s="3"/>
    </row>
    <row r="103" spans="3:14" ht="15" thickBot="1" x14ac:dyDescent="0.4">
      <c r="C103" s="1" t="s">
        <v>12</v>
      </c>
      <c r="D103" s="1"/>
      <c r="E103" s="1"/>
      <c r="F103" s="1"/>
      <c r="G103" s="1"/>
      <c r="H103" s="1">
        <v>24</v>
      </c>
      <c r="I103" s="3"/>
      <c r="J103" s="3"/>
      <c r="K103" s="3"/>
      <c r="L103" s="1">
        <v>2</v>
      </c>
      <c r="M103" s="1"/>
      <c r="N103" s="3"/>
    </row>
    <row r="104" spans="3:14" ht="15" thickBot="1" x14ac:dyDescent="0.4">
      <c r="C104" s="1" t="s">
        <v>13</v>
      </c>
      <c r="D104" s="4" t="e">
        <f>D102/D103</f>
        <v>#DIV/0!</v>
      </c>
      <c r="E104" s="4" t="e">
        <f>E102/E103</f>
        <v>#DIV/0!</v>
      </c>
      <c r="F104" s="4" t="e">
        <f>F102/F103</f>
        <v>#DIV/0!</v>
      </c>
      <c r="G104" s="4" t="e">
        <f>G102/G103</f>
        <v>#DIV/0!</v>
      </c>
      <c r="H104" s="4">
        <f>H102/H103</f>
        <v>0.83333333333333337</v>
      </c>
      <c r="I104" s="3"/>
      <c r="J104" s="3"/>
      <c r="K104" s="3"/>
      <c r="L104" s="4">
        <f>L102/L103</f>
        <v>0</v>
      </c>
      <c r="M104" s="4" t="e">
        <f>M102/M103</f>
        <v>#DIV/0!</v>
      </c>
      <c r="N104" s="3"/>
    </row>
    <row r="111" spans="3:14" ht="15" thickBot="1" x14ac:dyDescent="0.4">
      <c r="C111" t="s">
        <v>47</v>
      </c>
    </row>
    <row r="112" spans="3:14" ht="15" thickBot="1" x14ac:dyDescent="0.4">
      <c r="C112" s="1"/>
      <c r="D112" s="11" t="s">
        <v>40</v>
      </c>
      <c r="E112" s="11" t="s">
        <v>41</v>
      </c>
      <c r="F112" s="11" t="s">
        <v>42</v>
      </c>
      <c r="G112" s="11" t="s">
        <v>43</v>
      </c>
      <c r="H112" s="1" t="s">
        <v>44</v>
      </c>
      <c r="I112" s="11" t="s">
        <v>18</v>
      </c>
      <c r="J112" s="11" t="s">
        <v>4</v>
      </c>
      <c r="K112" s="11" t="s">
        <v>48</v>
      </c>
      <c r="L112" s="1" t="s">
        <v>49</v>
      </c>
      <c r="M112" s="11" t="s">
        <v>50</v>
      </c>
      <c r="N112" s="11"/>
    </row>
    <row r="113" spans="3:15" ht="15" thickBot="1" x14ac:dyDescent="0.4">
      <c r="C113" s="1" t="s">
        <v>11</v>
      </c>
      <c r="D113" s="1">
        <v>147</v>
      </c>
      <c r="E113" s="1">
        <v>87</v>
      </c>
      <c r="F113" s="1">
        <v>77</v>
      </c>
      <c r="G113" s="1">
        <v>15</v>
      </c>
      <c r="H113" s="1">
        <v>18</v>
      </c>
      <c r="I113" s="3">
        <v>94</v>
      </c>
      <c r="J113" s="3">
        <v>69</v>
      </c>
      <c r="K113" s="3">
        <v>11</v>
      </c>
      <c r="L113" s="1">
        <v>0</v>
      </c>
      <c r="M113" s="1">
        <v>15</v>
      </c>
      <c r="N113" s="3"/>
      <c r="O113" s="20">
        <v>533</v>
      </c>
    </row>
    <row r="114" spans="3:15" ht="15" thickBot="1" x14ac:dyDescent="0.4">
      <c r="C114" s="1" t="s">
        <v>12</v>
      </c>
      <c r="D114" s="1">
        <v>160</v>
      </c>
      <c r="E114" s="1">
        <v>87</v>
      </c>
      <c r="F114" s="1">
        <v>82</v>
      </c>
      <c r="G114" s="1">
        <v>20</v>
      </c>
      <c r="H114" s="1">
        <v>20</v>
      </c>
      <c r="I114" s="3">
        <v>94</v>
      </c>
      <c r="J114" s="3">
        <v>145</v>
      </c>
      <c r="K114" s="3">
        <v>15</v>
      </c>
      <c r="L114" s="1">
        <v>6</v>
      </c>
      <c r="M114" s="1">
        <v>18</v>
      </c>
      <c r="N114" s="3"/>
      <c r="O114" s="20">
        <v>647</v>
      </c>
    </row>
    <row r="115" spans="3:15" ht="15" thickBot="1" x14ac:dyDescent="0.4">
      <c r="C115" s="1" t="s">
        <v>13</v>
      </c>
      <c r="D115" s="4">
        <v>0.91</v>
      </c>
      <c r="E115" s="4">
        <f>E113/E114</f>
        <v>1</v>
      </c>
      <c r="F115" s="4">
        <f>F113/F114</f>
        <v>0.93902439024390238</v>
      </c>
      <c r="G115" s="4">
        <f>G113/G114</f>
        <v>0.75</v>
      </c>
      <c r="H115" s="4">
        <f>H113/H114</f>
        <v>0.9</v>
      </c>
      <c r="I115" s="6">
        <v>1</v>
      </c>
      <c r="J115" s="6">
        <v>0.47</v>
      </c>
      <c r="K115" s="6">
        <v>0.73</v>
      </c>
      <c r="L115" s="4">
        <f>L113/L114</f>
        <v>0</v>
      </c>
      <c r="M115" s="4">
        <f>M113/M114</f>
        <v>0.83333333333333337</v>
      </c>
      <c r="N115" s="3"/>
      <c r="O115" s="9">
        <f>O113/O114</f>
        <v>0.8238021638330757</v>
      </c>
    </row>
    <row r="118" spans="3:15" ht="15" thickBot="1" x14ac:dyDescent="0.4">
      <c r="C118" t="s">
        <v>51</v>
      </c>
      <c r="N118" s="9"/>
    </row>
    <row r="119" spans="3:15" ht="16" thickBot="1" x14ac:dyDescent="0.4">
      <c r="C119" s="1"/>
      <c r="D119" s="2" t="s">
        <v>39</v>
      </c>
      <c r="E119" s="2" t="s">
        <v>1</v>
      </c>
      <c r="F119" s="2" t="s">
        <v>2</v>
      </c>
      <c r="G119" s="13" t="s">
        <v>3</v>
      </c>
      <c r="H119" s="12" t="s">
        <v>4</v>
      </c>
      <c r="I119" s="12"/>
      <c r="J119" s="13" t="s">
        <v>5</v>
      </c>
      <c r="K119" s="2" t="s">
        <v>6</v>
      </c>
      <c r="L119" s="2" t="s">
        <v>7</v>
      </c>
      <c r="M119" s="2" t="s">
        <v>8</v>
      </c>
      <c r="N119" s="2" t="s">
        <v>9</v>
      </c>
    </row>
    <row r="120" spans="3:15" ht="15" thickBot="1" x14ac:dyDescent="0.4">
      <c r="C120" s="1" t="s">
        <v>11</v>
      </c>
      <c r="D120" s="1">
        <v>16</v>
      </c>
      <c r="E120" s="1">
        <v>3</v>
      </c>
      <c r="F120" s="1">
        <v>42</v>
      </c>
      <c r="G120" s="1">
        <v>11</v>
      </c>
      <c r="H120" s="3"/>
      <c r="I120" s="3"/>
      <c r="J120" s="1">
        <v>1</v>
      </c>
      <c r="K120" s="1">
        <v>2</v>
      </c>
      <c r="L120" s="1">
        <v>9</v>
      </c>
      <c r="M120" s="3">
        <v>0</v>
      </c>
      <c r="N120" s="1">
        <v>21</v>
      </c>
      <c r="O120" s="21">
        <v>105</v>
      </c>
    </row>
    <row r="121" spans="3:15" ht="15" thickBot="1" x14ac:dyDescent="0.4">
      <c r="C121" s="1" t="s">
        <v>12</v>
      </c>
      <c r="D121" s="1">
        <v>38</v>
      </c>
      <c r="E121" s="1">
        <v>8</v>
      </c>
      <c r="F121" s="1">
        <v>55</v>
      </c>
      <c r="G121" s="1">
        <v>17</v>
      </c>
      <c r="H121" s="3"/>
      <c r="I121" s="3"/>
      <c r="J121" s="1">
        <v>3</v>
      </c>
      <c r="K121" s="1">
        <v>6</v>
      </c>
      <c r="L121" s="1">
        <v>16</v>
      </c>
      <c r="M121" s="3">
        <v>1</v>
      </c>
      <c r="N121" s="1">
        <v>31</v>
      </c>
      <c r="O121" s="21">
        <v>175</v>
      </c>
    </row>
    <row r="122" spans="3:15" ht="15" thickBot="1" x14ac:dyDescent="0.4">
      <c r="C122" s="1" t="s">
        <v>13</v>
      </c>
      <c r="D122" s="5">
        <f>D120/D121</f>
        <v>0.42105263157894735</v>
      </c>
      <c r="E122" s="5">
        <f>E120/E121</f>
        <v>0.375</v>
      </c>
      <c r="F122" s="4">
        <f>F120/F121</f>
        <v>0.76363636363636367</v>
      </c>
      <c r="G122" s="5">
        <v>0.64</v>
      </c>
      <c r="H122" s="3"/>
      <c r="I122" s="3"/>
      <c r="J122" s="5">
        <f>J120/J121</f>
        <v>0.33333333333333331</v>
      </c>
      <c r="K122" s="4">
        <f>K120/K121</f>
        <v>0.33333333333333331</v>
      </c>
      <c r="L122" s="4">
        <f>L120/L121</f>
        <v>0.5625</v>
      </c>
      <c r="M122" s="6">
        <v>0</v>
      </c>
      <c r="N122" s="4">
        <f>N120/N121</f>
        <v>0.67741935483870963</v>
      </c>
      <c r="O122" s="22">
        <f>O120/O121</f>
        <v>0.6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BE1A-D75A-44F3-8C25-3DF7D1DF5B8E}">
  <dimension ref="A1:S148"/>
  <sheetViews>
    <sheetView tabSelected="1" topLeftCell="B118" workbookViewId="0">
      <selection activeCell="P121" sqref="P121:S126"/>
    </sheetView>
  </sheetViews>
  <sheetFormatPr defaultRowHeight="14.5" x14ac:dyDescent="0.35"/>
  <cols>
    <col min="1" max="16384" width="8.7265625" style="17"/>
  </cols>
  <sheetData>
    <row r="1" spans="1:19" ht="15" thickBot="1" x14ac:dyDescent="0.4">
      <c r="A1" s="17" t="s">
        <v>52</v>
      </c>
    </row>
    <row r="2" spans="1:19" ht="15" thickBot="1" x14ac:dyDescent="0.4">
      <c r="A2" s="18" t="s">
        <v>53</v>
      </c>
      <c r="B2" s="18" t="s">
        <v>54</v>
      </c>
      <c r="C2" s="14" t="s">
        <v>1</v>
      </c>
      <c r="D2" s="18" t="s">
        <v>2</v>
      </c>
      <c r="E2" s="14" t="s">
        <v>3</v>
      </c>
      <c r="F2" s="18" t="s">
        <v>4</v>
      </c>
      <c r="G2" s="14" t="s">
        <v>5</v>
      </c>
      <c r="H2" s="14" t="s">
        <v>6</v>
      </c>
      <c r="I2" s="19" t="s">
        <v>7</v>
      </c>
      <c r="J2" s="19" t="s">
        <v>8</v>
      </c>
      <c r="K2" s="19" t="s">
        <v>9</v>
      </c>
      <c r="L2" s="19" t="s">
        <v>55</v>
      </c>
      <c r="Q2" s="18" t="s">
        <v>53</v>
      </c>
      <c r="R2" s="18" t="s">
        <v>56</v>
      </c>
      <c r="S2" s="18" t="s">
        <v>57</v>
      </c>
    </row>
    <row r="3" spans="1:19" ht="15" thickBot="1" x14ac:dyDescent="0.4">
      <c r="A3" s="18" t="s">
        <v>58</v>
      </c>
      <c r="B3" s="19">
        <v>1</v>
      </c>
      <c r="C3" s="19">
        <v>1</v>
      </c>
      <c r="D3" s="19">
        <v>1</v>
      </c>
      <c r="E3" s="19">
        <v>1</v>
      </c>
      <c r="F3" s="19">
        <v>0.86</v>
      </c>
      <c r="G3" s="19">
        <v>1</v>
      </c>
      <c r="H3" s="19">
        <v>1</v>
      </c>
      <c r="I3" s="19">
        <v>1</v>
      </c>
      <c r="J3" s="19">
        <v>1</v>
      </c>
      <c r="K3" s="19">
        <v>0.94</v>
      </c>
      <c r="L3" s="19">
        <v>1</v>
      </c>
      <c r="Q3" s="18" t="s">
        <v>58</v>
      </c>
      <c r="R3" s="19">
        <v>0.96</v>
      </c>
      <c r="S3" s="19">
        <v>1</v>
      </c>
    </row>
    <row r="4" spans="1:19" ht="15" thickBot="1" x14ac:dyDescent="0.4">
      <c r="A4" s="18" t="s">
        <v>59</v>
      </c>
      <c r="B4" s="19">
        <v>1</v>
      </c>
      <c r="C4" s="19">
        <v>1</v>
      </c>
      <c r="D4" s="19">
        <v>1</v>
      </c>
      <c r="E4" s="19">
        <v>1</v>
      </c>
      <c r="F4" s="19">
        <v>0.61</v>
      </c>
      <c r="G4" s="19">
        <v>1</v>
      </c>
      <c r="H4" s="19">
        <v>1</v>
      </c>
      <c r="I4" s="19">
        <v>1</v>
      </c>
      <c r="J4" s="19">
        <v>1</v>
      </c>
      <c r="K4" s="19">
        <v>1</v>
      </c>
      <c r="L4" s="19">
        <v>1</v>
      </c>
      <c r="Q4" s="18" t="s">
        <v>59</v>
      </c>
      <c r="R4" s="19">
        <v>0.9</v>
      </c>
      <c r="S4" s="19">
        <v>1</v>
      </c>
    </row>
    <row r="5" spans="1:19" ht="15" thickBot="1" x14ac:dyDescent="0.4">
      <c r="A5" s="18" t="s">
        <v>60</v>
      </c>
      <c r="B5" s="19">
        <v>1</v>
      </c>
      <c r="C5" s="19">
        <v>1</v>
      </c>
      <c r="D5" s="19">
        <v>1</v>
      </c>
      <c r="E5" s="19">
        <v>1</v>
      </c>
      <c r="F5" s="19">
        <v>0.75</v>
      </c>
      <c r="G5" s="19">
        <v>1</v>
      </c>
      <c r="H5" s="19">
        <v>1</v>
      </c>
      <c r="I5" s="19">
        <v>1</v>
      </c>
      <c r="J5" s="19">
        <v>1</v>
      </c>
      <c r="K5" s="19">
        <v>0.81</v>
      </c>
      <c r="L5" s="19">
        <v>1</v>
      </c>
      <c r="Q5" s="18" t="s">
        <v>60</v>
      </c>
      <c r="R5" s="19">
        <v>0.87</v>
      </c>
      <c r="S5" s="19">
        <v>1</v>
      </c>
    </row>
    <row r="6" spans="1:19" ht="15" thickBot="1" x14ac:dyDescent="0.4">
      <c r="A6" s="18" t="s">
        <v>61</v>
      </c>
      <c r="B6" s="19">
        <v>0.77</v>
      </c>
      <c r="C6" s="19">
        <v>1</v>
      </c>
      <c r="D6" s="19">
        <v>1</v>
      </c>
      <c r="E6" s="19">
        <v>0.6</v>
      </c>
      <c r="F6" s="19">
        <v>0.99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0.72</v>
      </c>
      <c r="Q6" s="18" t="s">
        <v>61</v>
      </c>
      <c r="R6" s="19">
        <v>0.8</v>
      </c>
      <c r="S6" s="19">
        <v>1</v>
      </c>
    </row>
    <row r="7" spans="1:19" ht="15" thickBot="1" x14ac:dyDescent="0.4">
      <c r="A7" s="18" t="s">
        <v>62</v>
      </c>
      <c r="B7" s="19">
        <v>0.93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Q7" s="18" t="s">
        <v>62</v>
      </c>
      <c r="R7" s="19">
        <v>0.99</v>
      </c>
      <c r="S7" s="19">
        <v>1</v>
      </c>
    </row>
    <row r="10" spans="1:19" ht="15" thickBot="1" x14ac:dyDescent="0.4">
      <c r="A10" s="17" t="s">
        <v>63</v>
      </c>
    </row>
    <row r="11" spans="1:19" ht="15" thickBot="1" x14ac:dyDescent="0.4">
      <c r="A11" s="18" t="s">
        <v>53</v>
      </c>
      <c r="B11" s="18" t="s">
        <v>54</v>
      </c>
      <c r="C11" s="14" t="s">
        <v>1</v>
      </c>
      <c r="D11" s="18" t="s">
        <v>2</v>
      </c>
      <c r="E11" s="14" t="s">
        <v>3</v>
      </c>
      <c r="F11" s="18" t="s">
        <v>4</v>
      </c>
      <c r="G11" s="14" t="s">
        <v>5</v>
      </c>
      <c r="H11" s="14" t="s">
        <v>6</v>
      </c>
      <c r="I11" s="19" t="s">
        <v>7</v>
      </c>
      <c r="J11" s="19" t="s">
        <v>8</v>
      </c>
      <c r="K11" s="19" t="s">
        <v>9</v>
      </c>
      <c r="L11" s="19" t="s">
        <v>10</v>
      </c>
      <c r="Q11" s="18" t="s">
        <v>53</v>
      </c>
      <c r="R11" s="18" t="s">
        <v>56</v>
      </c>
      <c r="S11" s="18" t="s">
        <v>57</v>
      </c>
    </row>
    <row r="12" spans="1:19" ht="15" thickBot="1" x14ac:dyDescent="0.4">
      <c r="A12" s="18" t="s">
        <v>58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Q12" s="18" t="s">
        <v>58</v>
      </c>
      <c r="R12" s="19">
        <v>0.62</v>
      </c>
      <c r="S12" s="19">
        <v>0.85</v>
      </c>
    </row>
    <row r="13" spans="1:19" ht="15" thickBot="1" x14ac:dyDescent="0.4">
      <c r="A13" s="18" t="s">
        <v>59</v>
      </c>
      <c r="B13" s="19">
        <v>0.94</v>
      </c>
      <c r="C13" s="19">
        <v>0.8</v>
      </c>
      <c r="D13" s="19">
        <v>0.88</v>
      </c>
      <c r="E13" s="19">
        <v>0.74</v>
      </c>
      <c r="F13" s="19">
        <v>0.74</v>
      </c>
      <c r="G13" s="19">
        <v>0.61</v>
      </c>
      <c r="H13" s="19">
        <v>0.6</v>
      </c>
      <c r="I13" s="19">
        <v>0.98</v>
      </c>
      <c r="J13" s="19">
        <v>0.96</v>
      </c>
      <c r="K13" s="19">
        <v>0.94</v>
      </c>
      <c r="L13" s="19"/>
      <c r="Q13" s="18" t="s">
        <v>59</v>
      </c>
      <c r="R13" s="19">
        <v>0.85</v>
      </c>
      <c r="S13" s="19">
        <v>0.85</v>
      </c>
    </row>
    <row r="14" spans="1:19" ht="15" thickBot="1" x14ac:dyDescent="0.4">
      <c r="A14" s="18" t="s">
        <v>60</v>
      </c>
      <c r="B14" s="19">
        <v>1</v>
      </c>
      <c r="C14" s="19">
        <v>0.95</v>
      </c>
      <c r="D14" s="19">
        <v>1</v>
      </c>
      <c r="E14" s="19">
        <v>0.83</v>
      </c>
      <c r="F14" s="19">
        <v>0.9</v>
      </c>
      <c r="G14" s="19">
        <v>0.92</v>
      </c>
      <c r="H14" s="19">
        <v>0.95</v>
      </c>
      <c r="I14" s="19">
        <v>1</v>
      </c>
      <c r="J14" s="19">
        <v>1</v>
      </c>
      <c r="K14" s="19">
        <v>0.88</v>
      </c>
      <c r="L14" s="19"/>
      <c r="Q14" s="18" t="s">
        <v>60</v>
      </c>
      <c r="R14" s="19">
        <v>0.96</v>
      </c>
      <c r="S14" s="19">
        <v>0.85</v>
      </c>
    </row>
    <row r="15" spans="1:19" ht="15" thickBot="1" x14ac:dyDescent="0.4">
      <c r="A15" s="18" t="s">
        <v>61</v>
      </c>
      <c r="B15" s="19">
        <v>0.99</v>
      </c>
      <c r="C15" s="19">
        <v>0.92</v>
      </c>
      <c r="D15" s="19">
        <v>0.87</v>
      </c>
      <c r="E15" s="19">
        <v>0.89</v>
      </c>
      <c r="F15" s="19">
        <v>0.94</v>
      </c>
      <c r="G15" s="19">
        <v>0.99</v>
      </c>
      <c r="H15" s="19">
        <v>0.99</v>
      </c>
      <c r="I15" s="19">
        <v>1</v>
      </c>
      <c r="J15" s="19">
        <v>1</v>
      </c>
      <c r="K15" s="19">
        <v>0.98</v>
      </c>
      <c r="L15" s="18"/>
      <c r="Q15" s="18" t="s">
        <v>61</v>
      </c>
      <c r="R15" s="19">
        <v>0.95</v>
      </c>
      <c r="S15" s="19">
        <v>0.85</v>
      </c>
    </row>
    <row r="16" spans="1:19" ht="15" thickBot="1" x14ac:dyDescent="0.4">
      <c r="A16" s="18" t="s">
        <v>62</v>
      </c>
      <c r="B16" s="19">
        <v>0.99</v>
      </c>
      <c r="C16" s="19">
        <v>0.96</v>
      </c>
      <c r="D16" s="19">
        <v>0.99</v>
      </c>
      <c r="E16" s="19">
        <v>0.99</v>
      </c>
      <c r="F16" s="19">
        <v>0.99</v>
      </c>
      <c r="G16" s="19">
        <v>0.99</v>
      </c>
      <c r="H16" s="19">
        <v>0.99</v>
      </c>
      <c r="I16" s="19">
        <v>0.99</v>
      </c>
      <c r="J16" s="19">
        <v>0.99</v>
      </c>
      <c r="K16" s="19">
        <v>0.99</v>
      </c>
      <c r="L16" s="19"/>
      <c r="Q16" s="18" t="s">
        <v>62</v>
      </c>
      <c r="R16" s="19">
        <v>0.99</v>
      </c>
      <c r="S16" s="19">
        <v>0.85</v>
      </c>
    </row>
    <row r="19" spans="1:19" ht="15" thickBot="1" x14ac:dyDescent="0.4">
      <c r="A19" s="17" t="s">
        <v>64</v>
      </c>
    </row>
    <row r="20" spans="1:19" ht="15" thickBot="1" x14ac:dyDescent="0.4">
      <c r="A20" s="18" t="s">
        <v>53</v>
      </c>
      <c r="B20" s="18" t="s">
        <v>54</v>
      </c>
      <c r="C20" s="14" t="s">
        <v>1</v>
      </c>
      <c r="D20" s="18" t="s">
        <v>2</v>
      </c>
      <c r="E20" s="14" t="s">
        <v>3</v>
      </c>
      <c r="F20" s="18" t="s">
        <v>4</v>
      </c>
      <c r="G20" s="14" t="s">
        <v>5</v>
      </c>
      <c r="H20" s="14" t="s">
        <v>6</v>
      </c>
      <c r="I20" s="19" t="s">
        <v>7</v>
      </c>
      <c r="J20" s="19" t="s">
        <v>8</v>
      </c>
      <c r="K20" s="19" t="s">
        <v>9</v>
      </c>
      <c r="L20" s="19" t="s">
        <v>10</v>
      </c>
      <c r="Q20" s="18" t="s">
        <v>53</v>
      </c>
      <c r="R20" s="18" t="s">
        <v>56</v>
      </c>
      <c r="S20" s="18" t="s">
        <v>57</v>
      </c>
    </row>
    <row r="21" spans="1:19" ht="15" thickBot="1" x14ac:dyDescent="0.4">
      <c r="A21" s="18" t="s">
        <v>58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Q21" s="18" t="s">
        <v>58</v>
      </c>
      <c r="R21" s="19">
        <v>0.82</v>
      </c>
      <c r="S21" s="19">
        <v>1</v>
      </c>
    </row>
    <row r="22" spans="1:19" ht="15" thickBot="1" x14ac:dyDescent="0.4">
      <c r="A22" s="18" t="s">
        <v>59</v>
      </c>
      <c r="B22" s="19">
        <v>0.92</v>
      </c>
      <c r="C22" s="19">
        <v>0.85</v>
      </c>
      <c r="D22" s="19">
        <v>1</v>
      </c>
      <c r="E22" s="19">
        <v>0.73</v>
      </c>
      <c r="F22" s="19">
        <v>1</v>
      </c>
      <c r="G22" s="19">
        <v>0.78</v>
      </c>
      <c r="H22" s="19">
        <v>1</v>
      </c>
      <c r="I22" s="19">
        <v>0.85</v>
      </c>
      <c r="J22" s="19">
        <v>0.91</v>
      </c>
      <c r="K22" s="19">
        <v>1</v>
      </c>
      <c r="L22" s="19"/>
      <c r="Q22" s="18" t="s">
        <v>59</v>
      </c>
      <c r="R22" s="19">
        <v>0.92</v>
      </c>
      <c r="S22" s="19">
        <v>1</v>
      </c>
    </row>
    <row r="23" spans="1:19" ht="15" thickBot="1" x14ac:dyDescent="0.4">
      <c r="A23" s="18" t="s">
        <v>60</v>
      </c>
      <c r="B23" s="19">
        <v>0.92</v>
      </c>
      <c r="C23" s="19">
        <v>0.83</v>
      </c>
      <c r="D23" s="19">
        <v>1</v>
      </c>
      <c r="E23" s="19">
        <v>1</v>
      </c>
      <c r="F23" s="19">
        <v>1</v>
      </c>
      <c r="G23" s="19" t="s">
        <v>65</v>
      </c>
      <c r="H23" s="19">
        <v>1</v>
      </c>
      <c r="I23" s="19">
        <v>0.94</v>
      </c>
      <c r="J23" s="19">
        <v>0.96</v>
      </c>
      <c r="K23" s="19">
        <v>1</v>
      </c>
      <c r="L23" s="19"/>
      <c r="Q23" s="18" t="s">
        <v>60</v>
      </c>
      <c r="R23" s="19">
        <v>0.97</v>
      </c>
      <c r="S23" s="19">
        <v>1</v>
      </c>
    </row>
    <row r="24" spans="1:19" ht="15" thickBot="1" x14ac:dyDescent="0.4">
      <c r="A24" s="18" t="s">
        <v>61</v>
      </c>
      <c r="B24" s="19">
        <v>0.94</v>
      </c>
      <c r="C24" s="19">
        <v>0.95</v>
      </c>
      <c r="D24" s="19">
        <v>1</v>
      </c>
      <c r="E24" s="19">
        <v>1</v>
      </c>
      <c r="F24" s="19">
        <v>1</v>
      </c>
      <c r="G24" s="19">
        <v>0.97</v>
      </c>
      <c r="H24" s="19">
        <v>1</v>
      </c>
      <c r="I24" s="19">
        <v>0.92</v>
      </c>
      <c r="J24" s="19">
        <v>0.83</v>
      </c>
      <c r="K24" s="19">
        <v>1</v>
      </c>
      <c r="Q24" s="18" t="s">
        <v>61</v>
      </c>
      <c r="R24" s="19">
        <v>0.96</v>
      </c>
      <c r="S24" s="19">
        <v>1</v>
      </c>
    </row>
    <row r="25" spans="1:19" ht="15" thickBot="1" x14ac:dyDescent="0.4">
      <c r="A25" s="18" t="s">
        <v>62</v>
      </c>
      <c r="B25" s="19"/>
      <c r="C25" s="19">
        <v>1</v>
      </c>
      <c r="D25" s="19">
        <v>1</v>
      </c>
      <c r="E25" s="19">
        <v>1</v>
      </c>
      <c r="F25" s="19">
        <v>1</v>
      </c>
      <c r="G25" s="19">
        <v>1</v>
      </c>
      <c r="H25" s="19">
        <v>0.97</v>
      </c>
      <c r="I25" s="19">
        <v>0.81</v>
      </c>
      <c r="J25" s="19">
        <v>0.96</v>
      </c>
      <c r="K25" s="19">
        <v>1</v>
      </c>
      <c r="L25" s="19"/>
      <c r="Q25" s="18" t="s">
        <v>62</v>
      </c>
      <c r="R25" s="19">
        <v>0.99</v>
      </c>
      <c r="S25" s="19">
        <v>1</v>
      </c>
    </row>
    <row r="28" spans="1:19" ht="15" thickBot="1" x14ac:dyDescent="0.4">
      <c r="A28" s="17" t="s">
        <v>66</v>
      </c>
    </row>
    <row r="29" spans="1:19" ht="15" thickBot="1" x14ac:dyDescent="0.4">
      <c r="A29" s="18" t="s">
        <v>53</v>
      </c>
      <c r="B29" s="18" t="s">
        <v>54</v>
      </c>
      <c r="C29" s="14" t="s">
        <v>1</v>
      </c>
      <c r="D29" s="18" t="s">
        <v>2</v>
      </c>
      <c r="E29" s="14" t="s">
        <v>3</v>
      </c>
      <c r="F29" s="18" t="s">
        <v>4</v>
      </c>
      <c r="G29" s="14" t="s">
        <v>5</v>
      </c>
      <c r="H29" s="14" t="s">
        <v>6</v>
      </c>
      <c r="I29" s="19" t="s">
        <v>7</v>
      </c>
      <c r="J29" s="19" t="s">
        <v>8</v>
      </c>
      <c r="K29" s="19" t="s">
        <v>9</v>
      </c>
      <c r="L29" s="19" t="s">
        <v>10</v>
      </c>
      <c r="Q29" s="18" t="s">
        <v>53</v>
      </c>
      <c r="R29" s="18" t="s">
        <v>56</v>
      </c>
      <c r="S29" s="18" t="s">
        <v>57</v>
      </c>
    </row>
    <row r="30" spans="1:19" ht="15" thickBot="1" x14ac:dyDescent="0.4">
      <c r="A30" s="18" t="s">
        <v>58</v>
      </c>
      <c r="B30" s="19">
        <v>7.0000000000000007E-2</v>
      </c>
      <c r="C30" s="19">
        <v>0.67</v>
      </c>
      <c r="D30" s="19">
        <v>0.13</v>
      </c>
      <c r="E30" s="19">
        <v>0.19</v>
      </c>
      <c r="F30" s="19"/>
      <c r="G30" s="19">
        <v>1</v>
      </c>
      <c r="H30" s="19">
        <v>1</v>
      </c>
      <c r="I30" s="19">
        <v>0.24</v>
      </c>
      <c r="J30" s="19">
        <v>0.5</v>
      </c>
      <c r="K30" s="19">
        <v>0.65</v>
      </c>
      <c r="L30" s="19"/>
      <c r="Q30" s="18" t="s">
        <v>58</v>
      </c>
      <c r="R30" s="19">
        <v>0.33</v>
      </c>
      <c r="S30" s="19">
        <v>0.8</v>
      </c>
    </row>
    <row r="31" spans="1:19" ht="15" thickBot="1" x14ac:dyDescent="0.4">
      <c r="A31" s="18" t="s">
        <v>59</v>
      </c>
      <c r="B31" s="19">
        <v>0.54</v>
      </c>
      <c r="C31" s="19">
        <v>0.89</v>
      </c>
      <c r="D31" s="19">
        <v>0.41</v>
      </c>
      <c r="E31" s="19">
        <v>0.28999999999999998</v>
      </c>
      <c r="F31" s="19"/>
      <c r="G31" s="19">
        <v>1</v>
      </c>
      <c r="H31" s="19">
        <v>0.69</v>
      </c>
      <c r="I31" s="19">
        <v>0.76</v>
      </c>
      <c r="J31" s="19">
        <v>0</v>
      </c>
      <c r="K31" s="19">
        <v>0.74</v>
      </c>
      <c r="L31" s="19"/>
      <c r="Q31" s="18" t="s">
        <v>59</v>
      </c>
      <c r="R31" s="19">
        <v>0.61</v>
      </c>
      <c r="S31" s="19">
        <v>0.8</v>
      </c>
    </row>
    <row r="32" spans="1:19" ht="15" thickBot="1" x14ac:dyDescent="0.4">
      <c r="A32" s="18" t="s">
        <v>60</v>
      </c>
      <c r="B32" s="19">
        <v>0.43</v>
      </c>
      <c r="C32" s="19">
        <v>0.87</v>
      </c>
      <c r="D32" s="19">
        <v>0.14000000000000001</v>
      </c>
      <c r="E32" s="19">
        <v>0.17</v>
      </c>
      <c r="F32" s="19"/>
      <c r="G32" s="19">
        <v>0.25</v>
      </c>
      <c r="H32" s="19">
        <v>0.73</v>
      </c>
      <c r="I32" s="19">
        <v>0.16</v>
      </c>
      <c r="J32" s="19">
        <v>0</v>
      </c>
      <c r="K32" s="19">
        <v>0.75</v>
      </c>
      <c r="L32" s="19"/>
      <c r="Q32" s="18" t="s">
        <v>60</v>
      </c>
      <c r="R32" s="19">
        <v>0.5</v>
      </c>
      <c r="S32" s="19">
        <v>0.8</v>
      </c>
    </row>
    <row r="33" spans="1:19" ht="15" thickBot="1" x14ac:dyDescent="0.4">
      <c r="A33" s="18" t="s">
        <v>61</v>
      </c>
      <c r="B33" s="19">
        <v>0.44</v>
      </c>
      <c r="C33" s="19">
        <v>0.38</v>
      </c>
      <c r="D33" s="19">
        <v>0.43</v>
      </c>
      <c r="E33" s="19">
        <v>0.35</v>
      </c>
      <c r="F33" s="19"/>
      <c r="G33" s="19">
        <v>1</v>
      </c>
      <c r="H33" s="19">
        <v>0.83</v>
      </c>
      <c r="I33" s="19">
        <v>0.33</v>
      </c>
      <c r="J33" s="19">
        <v>0</v>
      </c>
      <c r="K33" s="19">
        <v>0.94</v>
      </c>
      <c r="L33" s="19"/>
      <c r="Q33" s="18" t="s">
        <v>61</v>
      </c>
      <c r="R33" s="19">
        <v>0.61</v>
      </c>
      <c r="S33" s="19">
        <v>0.8</v>
      </c>
    </row>
    <row r="34" spans="1:19" ht="15" thickBot="1" x14ac:dyDescent="0.4">
      <c r="A34" s="18" t="s">
        <v>62</v>
      </c>
      <c r="B34" s="19">
        <v>0.54</v>
      </c>
      <c r="C34" s="19">
        <v>0.38</v>
      </c>
      <c r="D34" s="19">
        <v>0.34</v>
      </c>
      <c r="E34" s="19">
        <v>0.37</v>
      </c>
      <c r="F34" s="19"/>
      <c r="G34" s="19">
        <v>1</v>
      </c>
      <c r="H34" s="19">
        <v>0.83</v>
      </c>
      <c r="I34" s="19">
        <v>0.25</v>
      </c>
      <c r="J34" s="19">
        <v>1</v>
      </c>
      <c r="K34" s="19">
        <v>0.95</v>
      </c>
      <c r="L34" s="19"/>
      <c r="Q34" s="18" t="s">
        <v>62</v>
      </c>
      <c r="R34" s="19">
        <v>0.62</v>
      </c>
      <c r="S34" s="19">
        <v>0.8</v>
      </c>
    </row>
    <row r="38" spans="1:19" ht="15" thickBot="1" x14ac:dyDescent="0.4">
      <c r="A38" s="17" t="s">
        <v>67</v>
      </c>
    </row>
    <row r="39" spans="1:19" ht="15" thickBot="1" x14ac:dyDescent="0.4">
      <c r="A39" s="18" t="s">
        <v>53</v>
      </c>
      <c r="B39" s="18" t="s">
        <v>41</v>
      </c>
      <c r="C39" s="14" t="s">
        <v>68</v>
      </c>
      <c r="D39" s="18" t="s">
        <v>45</v>
      </c>
      <c r="E39" s="14" t="s">
        <v>43</v>
      </c>
      <c r="F39" s="18" t="s">
        <v>44</v>
      </c>
      <c r="G39" s="14" t="s">
        <v>46</v>
      </c>
      <c r="Q39" s="18" t="s">
        <v>53</v>
      </c>
      <c r="R39" s="18" t="s">
        <v>56</v>
      </c>
      <c r="S39" s="18" t="s">
        <v>57</v>
      </c>
    </row>
    <row r="40" spans="1:19" ht="15" thickBot="1" x14ac:dyDescent="0.4">
      <c r="A40" s="18" t="s">
        <v>58</v>
      </c>
      <c r="B40" s="19">
        <v>0.87</v>
      </c>
      <c r="C40" s="19">
        <v>0.57999999999999996</v>
      </c>
      <c r="D40" s="19">
        <v>0.76</v>
      </c>
      <c r="E40" s="19">
        <v>0.76</v>
      </c>
      <c r="F40" s="19">
        <v>0.82</v>
      </c>
      <c r="G40" s="19">
        <v>1</v>
      </c>
      <c r="Q40" s="18" t="s">
        <v>58</v>
      </c>
      <c r="R40" s="19">
        <v>0.65</v>
      </c>
      <c r="S40" s="19">
        <v>1</v>
      </c>
    </row>
    <row r="41" spans="1:19" ht="15" thickBot="1" x14ac:dyDescent="0.4">
      <c r="A41" s="18" t="s">
        <v>59</v>
      </c>
      <c r="B41" s="19">
        <v>1</v>
      </c>
      <c r="C41" s="19">
        <v>0.72</v>
      </c>
      <c r="D41" s="19">
        <v>0.76</v>
      </c>
      <c r="E41" s="19">
        <v>1</v>
      </c>
      <c r="F41" s="19">
        <v>0.82</v>
      </c>
      <c r="G41" s="19">
        <v>1</v>
      </c>
      <c r="Q41" s="18" t="s">
        <v>59</v>
      </c>
      <c r="R41" s="19">
        <v>0.84</v>
      </c>
      <c r="S41" s="19">
        <v>1</v>
      </c>
    </row>
    <row r="42" spans="1:19" ht="15" thickBot="1" x14ac:dyDescent="0.4">
      <c r="A42" s="18" t="s">
        <v>60</v>
      </c>
      <c r="B42" s="19">
        <v>0.91</v>
      </c>
      <c r="C42" s="19">
        <v>0.82</v>
      </c>
      <c r="D42" s="19">
        <v>0.78</v>
      </c>
      <c r="E42" s="19">
        <v>1</v>
      </c>
      <c r="F42" s="19">
        <v>0.82</v>
      </c>
      <c r="G42" s="19">
        <v>1</v>
      </c>
      <c r="Q42" s="18" t="s">
        <v>60</v>
      </c>
      <c r="R42" s="19">
        <v>0.91</v>
      </c>
      <c r="S42" s="19">
        <v>1</v>
      </c>
    </row>
    <row r="43" spans="1:19" ht="15" thickBot="1" x14ac:dyDescent="0.4">
      <c r="A43" s="18" t="s">
        <v>61</v>
      </c>
      <c r="B43" s="19">
        <v>1</v>
      </c>
      <c r="C43" s="19">
        <v>0.86</v>
      </c>
      <c r="D43" s="19">
        <v>0.93</v>
      </c>
      <c r="E43" s="19">
        <v>1</v>
      </c>
      <c r="F43" s="19">
        <v>0.97</v>
      </c>
      <c r="G43" s="19">
        <v>1</v>
      </c>
      <c r="Q43" s="18" t="s">
        <v>61</v>
      </c>
      <c r="R43" s="19">
        <v>0.95</v>
      </c>
      <c r="S43" s="19">
        <v>1</v>
      </c>
    </row>
    <row r="44" spans="1:19" ht="15" thickBot="1" x14ac:dyDescent="0.4">
      <c r="A44" s="18" t="s">
        <v>62</v>
      </c>
      <c r="B44" s="19">
        <v>1</v>
      </c>
      <c r="C44" s="19">
        <v>0.94</v>
      </c>
      <c r="D44" s="19">
        <v>0.84</v>
      </c>
      <c r="E44" s="19">
        <v>0.62</v>
      </c>
      <c r="F44" s="19">
        <v>0.96</v>
      </c>
      <c r="G44" s="19">
        <v>1</v>
      </c>
      <c r="Q44" s="18" t="s">
        <v>69</v>
      </c>
      <c r="R44" s="19">
        <v>0.62</v>
      </c>
      <c r="S44" s="19">
        <v>1</v>
      </c>
    </row>
    <row r="47" spans="1:19" ht="15" thickBot="1" x14ac:dyDescent="0.4">
      <c r="A47" s="17" t="s">
        <v>70</v>
      </c>
    </row>
    <row r="48" spans="1:19" ht="15" thickBot="1" x14ac:dyDescent="0.4">
      <c r="A48" s="18" t="s">
        <v>53</v>
      </c>
      <c r="B48" s="18" t="s">
        <v>56</v>
      </c>
      <c r="C48" s="18" t="s">
        <v>57</v>
      </c>
    </row>
    <row r="49" spans="1:3" ht="15" thickBot="1" x14ac:dyDescent="0.4">
      <c r="A49" s="18" t="s">
        <v>58</v>
      </c>
      <c r="B49" s="19">
        <v>1</v>
      </c>
      <c r="C49" s="19">
        <v>1</v>
      </c>
    </row>
    <row r="50" spans="1:3" ht="15" thickBot="1" x14ac:dyDescent="0.4">
      <c r="A50" s="18" t="s">
        <v>59</v>
      </c>
      <c r="B50" s="19">
        <v>0.95</v>
      </c>
      <c r="C50" s="19">
        <v>1</v>
      </c>
    </row>
    <row r="51" spans="1:3" ht="15" thickBot="1" x14ac:dyDescent="0.4">
      <c r="A51" s="18" t="s">
        <v>60</v>
      </c>
      <c r="B51" s="19">
        <v>1</v>
      </c>
      <c r="C51" s="19">
        <v>1</v>
      </c>
    </row>
    <row r="52" spans="1:3" ht="15" thickBot="1" x14ac:dyDescent="0.4">
      <c r="A52" s="18" t="s">
        <v>61</v>
      </c>
      <c r="B52" s="19">
        <v>1</v>
      </c>
      <c r="C52" s="19">
        <v>1</v>
      </c>
    </row>
    <row r="53" spans="1:3" ht="15" thickBot="1" x14ac:dyDescent="0.4">
      <c r="A53" s="18" t="s">
        <v>62</v>
      </c>
      <c r="B53" s="19">
        <v>1</v>
      </c>
      <c r="C53" s="19">
        <v>1</v>
      </c>
    </row>
    <row r="57" spans="1:3" ht="15" thickBot="1" x14ac:dyDescent="0.4">
      <c r="A57" s="17" t="s">
        <v>71</v>
      </c>
    </row>
    <row r="58" spans="1:3" ht="15" thickBot="1" x14ac:dyDescent="0.4">
      <c r="A58" s="18" t="s">
        <v>53</v>
      </c>
      <c r="B58" s="18" t="s">
        <v>56</v>
      </c>
      <c r="C58" s="18" t="s">
        <v>57</v>
      </c>
    </row>
    <row r="59" spans="1:3" ht="15" thickBot="1" x14ac:dyDescent="0.4">
      <c r="A59" s="18" t="s">
        <v>58</v>
      </c>
      <c r="B59" s="19">
        <v>0.81</v>
      </c>
      <c r="C59" s="19">
        <v>0.8</v>
      </c>
    </row>
    <row r="60" spans="1:3" ht="15" thickBot="1" x14ac:dyDescent="0.4">
      <c r="A60" s="18" t="s">
        <v>59</v>
      </c>
      <c r="B60" s="19">
        <v>0.83</v>
      </c>
      <c r="C60" s="19">
        <v>0.8</v>
      </c>
    </row>
    <row r="61" spans="1:3" ht="15" thickBot="1" x14ac:dyDescent="0.4">
      <c r="A61" s="18" t="s">
        <v>60</v>
      </c>
      <c r="B61" s="19">
        <v>0.82</v>
      </c>
      <c r="C61" s="19">
        <v>0.8</v>
      </c>
    </row>
    <row r="62" spans="1:3" ht="15" thickBot="1" x14ac:dyDescent="0.4">
      <c r="A62" s="18" t="s">
        <v>61</v>
      </c>
      <c r="B62" s="19">
        <v>0.9</v>
      </c>
      <c r="C62" s="19">
        <v>0.8</v>
      </c>
    </row>
    <row r="63" spans="1:3" ht="15" thickBot="1" x14ac:dyDescent="0.4">
      <c r="A63" s="18" t="s">
        <v>69</v>
      </c>
      <c r="B63" s="19">
        <v>0.92</v>
      </c>
      <c r="C63" s="19">
        <v>0.8</v>
      </c>
    </row>
    <row r="67" spans="1:19" ht="15" thickBot="1" x14ac:dyDescent="0.4">
      <c r="A67" s="17" t="s">
        <v>72</v>
      </c>
    </row>
    <row r="68" spans="1:19" ht="15" thickBot="1" x14ac:dyDescent="0.4">
      <c r="A68" s="18" t="s">
        <v>53</v>
      </c>
      <c r="B68" s="18" t="s">
        <v>54</v>
      </c>
      <c r="C68" s="14" t="s">
        <v>1</v>
      </c>
      <c r="D68" s="18" t="s">
        <v>2</v>
      </c>
      <c r="E68" s="14" t="s">
        <v>3</v>
      </c>
      <c r="F68" s="18" t="s">
        <v>4</v>
      </c>
      <c r="G68" s="14" t="s">
        <v>5</v>
      </c>
      <c r="H68" s="14" t="s">
        <v>6</v>
      </c>
      <c r="I68" s="19" t="s">
        <v>7</v>
      </c>
      <c r="J68" s="19" t="s">
        <v>8</v>
      </c>
      <c r="K68" s="19" t="s">
        <v>9</v>
      </c>
      <c r="Q68" s="18" t="s">
        <v>53</v>
      </c>
      <c r="R68" s="18" t="s">
        <v>56</v>
      </c>
      <c r="S68" s="18" t="s">
        <v>57</v>
      </c>
    </row>
    <row r="69" spans="1:19" ht="15" thickBot="1" x14ac:dyDescent="0.4">
      <c r="A69" s="18" t="s">
        <v>58</v>
      </c>
      <c r="B69" s="19">
        <v>1</v>
      </c>
      <c r="C69" s="19">
        <v>1</v>
      </c>
      <c r="D69" s="19">
        <v>1</v>
      </c>
      <c r="E69" s="19">
        <v>1</v>
      </c>
      <c r="F69" s="19">
        <v>0.9</v>
      </c>
      <c r="G69" s="19">
        <v>1</v>
      </c>
      <c r="H69" s="19">
        <v>1</v>
      </c>
      <c r="I69" s="19">
        <v>1</v>
      </c>
      <c r="J69" s="19">
        <v>1</v>
      </c>
      <c r="K69" s="19">
        <v>1</v>
      </c>
      <c r="Q69" s="18" t="s">
        <v>58</v>
      </c>
      <c r="R69" s="19">
        <v>0.93</v>
      </c>
      <c r="S69" s="19">
        <v>1</v>
      </c>
    </row>
    <row r="70" spans="1:19" ht="15" thickBot="1" x14ac:dyDescent="0.4">
      <c r="A70" s="18" t="s">
        <v>59</v>
      </c>
      <c r="B70" s="19">
        <v>1</v>
      </c>
      <c r="C70" s="19">
        <v>1</v>
      </c>
      <c r="D70" s="19">
        <v>1</v>
      </c>
      <c r="E70" s="19">
        <v>1</v>
      </c>
      <c r="F70" s="19">
        <v>0.82</v>
      </c>
      <c r="G70" s="19">
        <v>1</v>
      </c>
      <c r="H70" s="19">
        <v>1</v>
      </c>
      <c r="I70" s="19">
        <v>1</v>
      </c>
      <c r="J70" s="19">
        <v>1</v>
      </c>
      <c r="K70" s="19">
        <v>1</v>
      </c>
      <c r="Q70" s="18" t="s">
        <v>59</v>
      </c>
      <c r="R70" s="19">
        <v>0.88</v>
      </c>
      <c r="S70" s="19">
        <v>1</v>
      </c>
    </row>
    <row r="71" spans="1:19" ht="15" thickBot="1" x14ac:dyDescent="0.4">
      <c r="A71" s="18" t="s">
        <v>60</v>
      </c>
      <c r="B71" s="19">
        <v>1</v>
      </c>
      <c r="C71" s="19">
        <v>1</v>
      </c>
      <c r="D71" s="19">
        <v>1</v>
      </c>
      <c r="E71" s="19">
        <v>1</v>
      </c>
      <c r="F71" s="19">
        <v>0.8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Q71" s="18" t="s">
        <v>60</v>
      </c>
      <c r="R71" s="19">
        <v>0.86</v>
      </c>
      <c r="S71" s="19">
        <v>1</v>
      </c>
    </row>
    <row r="72" spans="1:19" ht="15" thickBot="1" x14ac:dyDescent="0.4">
      <c r="A72" s="18" t="s">
        <v>61</v>
      </c>
      <c r="B72" s="19">
        <v>1</v>
      </c>
      <c r="C72" s="19">
        <v>1</v>
      </c>
      <c r="D72" s="19">
        <v>0.37</v>
      </c>
      <c r="E72" s="19">
        <v>1</v>
      </c>
      <c r="F72" s="19">
        <v>0.85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Q72" s="18" t="s">
        <v>61</v>
      </c>
      <c r="R72" s="19">
        <v>0.84</v>
      </c>
      <c r="S72" s="19">
        <v>1</v>
      </c>
    </row>
    <row r="73" spans="1:19" ht="15" thickBot="1" x14ac:dyDescent="0.4">
      <c r="A73" s="18" t="s">
        <v>62</v>
      </c>
      <c r="B73" s="19">
        <v>1</v>
      </c>
      <c r="C73" s="19">
        <v>1</v>
      </c>
      <c r="D73" s="19">
        <v>0.77</v>
      </c>
      <c r="E73" s="19">
        <v>1</v>
      </c>
      <c r="F73" s="19">
        <v>0.79</v>
      </c>
      <c r="G73" s="19">
        <v>1</v>
      </c>
      <c r="H73" s="19">
        <v>1</v>
      </c>
      <c r="I73" s="19">
        <v>1</v>
      </c>
      <c r="J73" s="19">
        <v>1</v>
      </c>
      <c r="K73" s="19">
        <v>1</v>
      </c>
      <c r="Q73" s="18" t="s">
        <v>69</v>
      </c>
      <c r="R73" s="19">
        <v>0.83</v>
      </c>
      <c r="S73" s="19">
        <v>1</v>
      </c>
    </row>
    <row r="76" spans="1:19" ht="15" thickBot="1" x14ac:dyDescent="0.4">
      <c r="A76" s="17" t="s">
        <v>73</v>
      </c>
    </row>
    <row r="77" spans="1:19" ht="15" thickBot="1" x14ac:dyDescent="0.4">
      <c r="A77" s="18" t="s">
        <v>53</v>
      </c>
      <c r="B77" s="18" t="s">
        <v>74</v>
      </c>
      <c r="C77" s="18" t="s">
        <v>75</v>
      </c>
    </row>
    <row r="78" spans="1:19" ht="15" thickBot="1" x14ac:dyDescent="0.4">
      <c r="A78" s="18" t="s">
        <v>58</v>
      </c>
      <c r="B78" s="19">
        <v>1</v>
      </c>
      <c r="C78" s="19">
        <v>1</v>
      </c>
    </row>
    <row r="79" spans="1:19" ht="15" thickBot="1" x14ac:dyDescent="0.4">
      <c r="A79" s="18" t="s">
        <v>59</v>
      </c>
      <c r="B79" s="19">
        <v>1</v>
      </c>
      <c r="C79" s="19">
        <v>1</v>
      </c>
    </row>
    <row r="80" spans="1:19" ht="15" thickBot="1" x14ac:dyDescent="0.4">
      <c r="A80" s="18" t="s">
        <v>60</v>
      </c>
      <c r="B80" s="19">
        <v>1</v>
      </c>
      <c r="C80" s="19">
        <v>1</v>
      </c>
    </row>
    <row r="81" spans="1:19" ht="15" thickBot="1" x14ac:dyDescent="0.4">
      <c r="A81" s="18" t="s">
        <v>61</v>
      </c>
      <c r="B81" s="19">
        <v>1</v>
      </c>
      <c r="C81" s="19">
        <v>1</v>
      </c>
    </row>
    <row r="82" spans="1:19" ht="15" thickBot="1" x14ac:dyDescent="0.4">
      <c r="A82" s="18" t="s">
        <v>62</v>
      </c>
      <c r="B82" s="19">
        <v>1</v>
      </c>
      <c r="C82" s="19">
        <v>1</v>
      </c>
    </row>
    <row r="86" spans="1:19" ht="15" thickBot="1" x14ac:dyDescent="0.4">
      <c r="A86" s="17" t="s">
        <v>76</v>
      </c>
    </row>
    <row r="87" spans="1:19" ht="15" thickBot="1" x14ac:dyDescent="0.4">
      <c r="A87" s="18" t="s">
        <v>53</v>
      </c>
      <c r="B87" s="18" t="s">
        <v>54</v>
      </c>
      <c r="C87" s="14" t="s">
        <v>1</v>
      </c>
      <c r="D87" s="18" t="s">
        <v>2</v>
      </c>
      <c r="E87" s="14" t="s">
        <v>3</v>
      </c>
      <c r="F87" s="18" t="s">
        <v>7</v>
      </c>
      <c r="G87" s="14" t="s">
        <v>8</v>
      </c>
      <c r="H87" s="14" t="s">
        <v>6</v>
      </c>
      <c r="I87" s="19" t="s">
        <v>9</v>
      </c>
      <c r="Q87" s="18" t="s">
        <v>53</v>
      </c>
      <c r="R87" s="18" t="s">
        <v>56</v>
      </c>
      <c r="S87" s="18" t="s">
        <v>57</v>
      </c>
    </row>
    <row r="88" spans="1:19" ht="15" thickBot="1" x14ac:dyDescent="0.4">
      <c r="A88" s="18" t="s">
        <v>58</v>
      </c>
      <c r="B88" s="19">
        <v>0.96</v>
      </c>
      <c r="C88" s="19">
        <v>0.67</v>
      </c>
      <c r="D88" s="19">
        <v>1</v>
      </c>
      <c r="E88" s="19">
        <v>0.82</v>
      </c>
      <c r="F88" s="19">
        <v>0.64</v>
      </c>
      <c r="G88" s="19">
        <v>1</v>
      </c>
      <c r="H88" s="19">
        <v>1</v>
      </c>
      <c r="I88" s="19">
        <v>1</v>
      </c>
      <c r="Q88" s="18" t="s">
        <v>58</v>
      </c>
      <c r="R88" s="19">
        <v>0.89</v>
      </c>
      <c r="S88" s="19">
        <v>0.8</v>
      </c>
    </row>
    <row r="89" spans="1:19" ht="15" thickBot="1" x14ac:dyDescent="0.4">
      <c r="A89" s="18" t="s">
        <v>59</v>
      </c>
      <c r="B89" s="19">
        <v>0.94</v>
      </c>
      <c r="C89" s="19">
        <v>1</v>
      </c>
      <c r="D89" s="19">
        <v>0.9</v>
      </c>
      <c r="E89" s="19">
        <v>0.8</v>
      </c>
      <c r="F89" s="19">
        <v>0.94</v>
      </c>
      <c r="G89" s="19">
        <v>1</v>
      </c>
      <c r="H89" s="19">
        <v>1</v>
      </c>
      <c r="I89" s="19">
        <v>1</v>
      </c>
      <c r="Q89" s="18" t="s">
        <v>59</v>
      </c>
      <c r="R89" s="19">
        <v>0.92</v>
      </c>
      <c r="S89" s="19">
        <v>0.8</v>
      </c>
    </row>
    <row r="90" spans="1:19" ht="15" thickBot="1" x14ac:dyDescent="0.4">
      <c r="A90" s="18" t="s">
        <v>60</v>
      </c>
      <c r="B90" s="19">
        <v>1</v>
      </c>
      <c r="C90" s="19">
        <v>1</v>
      </c>
      <c r="D90" s="19">
        <v>0.75</v>
      </c>
      <c r="E90" s="19">
        <v>0.86</v>
      </c>
      <c r="F90" s="19">
        <v>1</v>
      </c>
      <c r="G90" s="19">
        <v>1</v>
      </c>
      <c r="H90" s="19">
        <v>1</v>
      </c>
      <c r="I90" s="19">
        <v>1</v>
      </c>
      <c r="Q90" s="18" t="s">
        <v>60</v>
      </c>
      <c r="R90" s="19">
        <v>0.95</v>
      </c>
      <c r="S90" s="19">
        <v>0.8</v>
      </c>
    </row>
    <row r="91" spans="1:19" ht="15" thickBot="1" x14ac:dyDescent="0.4">
      <c r="A91" s="18" t="s">
        <v>61</v>
      </c>
      <c r="B91" s="19">
        <v>1</v>
      </c>
      <c r="C91" s="19">
        <v>0.75</v>
      </c>
      <c r="D91" s="19">
        <v>0.89</v>
      </c>
      <c r="E91" s="19">
        <v>0.7</v>
      </c>
      <c r="F91" s="19">
        <v>1</v>
      </c>
      <c r="G91" s="19">
        <v>1</v>
      </c>
      <c r="H91" s="19">
        <v>1</v>
      </c>
      <c r="I91" s="19">
        <v>1</v>
      </c>
      <c r="Q91" s="18" t="s">
        <v>61</v>
      </c>
      <c r="R91" s="19">
        <v>0.92</v>
      </c>
      <c r="S91" s="19">
        <v>0.8</v>
      </c>
    </row>
    <row r="92" spans="1:19" ht="15" thickBot="1" x14ac:dyDescent="0.4">
      <c r="A92" s="18" t="s">
        <v>62</v>
      </c>
      <c r="B92" s="19">
        <v>1</v>
      </c>
      <c r="C92" s="19">
        <v>1</v>
      </c>
      <c r="D92" s="19">
        <v>0.95</v>
      </c>
      <c r="E92" s="19">
        <v>1</v>
      </c>
      <c r="F92" s="19">
        <v>1</v>
      </c>
      <c r="G92" s="19">
        <v>1</v>
      </c>
      <c r="H92" s="19">
        <v>1</v>
      </c>
      <c r="I92" s="19">
        <v>1</v>
      </c>
      <c r="Q92" s="18" t="s">
        <v>62</v>
      </c>
      <c r="R92" s="19">
        <v>0.86</v>
      </c>
      <c r="S92" s="19">
        <v>0.8</v>
      </c>
    </row>
    <row r="95" spans="1:19" ht="15" thickBot="1" x14ac:dyDescent="0.4">
      <c r="A95" s="17" t="s">
        <v>77</v>
      </c>
    </row>
    <row r="96" spans="1:19" ht="15" thickBot="1" x14ac:dyDescent="0.4">
      <c r="A96" s="18" t="s">
        <v>53</v>
      </c>
      <c r="B96" s="18" t="s">
        <v>78</v>
      </c>
      <c r="C96" s="14" t="s">
        <v>3</v>
      </c>
      <c r="D96" s="18" t="s">
        <v>2</v>
      </c>
      <c r="E96" s="14" t="s">
        <v>1</v>
      </c>
      <c r="F96" s="18" t="s">
        <v>7</v>
      </c>
      <c r="G96" s="14" t="s">
        <v>8</v>
      </c>
      <c r="H96" s="14" t="s">
        <v>6</v>
      </c>
      <c r="I96" s="19" t="s">
        <v>9</v>
      </c>
      <c r="J96" s="19" t="s">
        <v>5</v>
      </c>
      <c r="K96" s="19" t="s">
        <v>4</v>
      </c>
      <c r="Q96" s="18" t="s">
        <v>53</v>
      </c>
      <c r="R96" s="18" t="s">
        <v>56</v>
      </c>
      <c r="S96" s="18" t="s">
        <v>57</v>
      </c>
    </row>
    <row r="97" spans="1:19" ht="15" thickBot="1" x14ac:dyDescent="0.4">
      <c r="A97" s="18" t="s">
        <v>58</v>
      </c>
      <c r="B97" s="19">
        <v>0.28000000000000003</v>
      </c>
      <c r="C97" s="19">
        <v>0</v>
      </c>
      <c r="D97" s="19">
        <v>1</v>
      </c>
      <c r="E97" s="19">
        <v>1</v>
      </c>
      <c r="F97" s="19">
        <v>0</v>
      </c>
      <c r="G97" s="19">
        <v>1</v>
      </c>
      <c r="H97" s="19">
        <v>1</v>
      </c>
      <c r="I97" s="19">
        <v>1</v>
      </c>
      <c r="J97" s="19">
        <v>1</v>
      </c>
      <c r="K97" s="19">
        <v>0.82</v>
      </c>
      <c r="Q97" s="18" t="s">
        <v>58</v>
      </c>
      <c r="R97" s="19">
        <v>0.6</v>
      </c>
      <c r="S97" s="19">
        <v>0.8</v>
      </c>
    </row>
    <row r="98" spans="1:19" ht="15" thickBot="1" x14ac:dyDescent="0.4">
      <c r="A98" s="18" t="s">
        <v>59</v>
      </c>
      <c r="B98" s="19">
        <v>0.36</v>
      </c>
      <c r="C98" s="19">
        <v>0.76</v>
      </c>
      <c r="D98" s="19">
        <v>1</v>
      </c>
      <c r="E98" s="19">
        <v>1</v>
      </c>
      <c r="F98" s="19">
        <v>1</v>
      </c>
      <c r="G98" s="19">
        <v>1</v>
      </c>
      <c r="H98" s="19">
        <v>1</v>
      </c>
      <c r="I98" s="19">
        <v>1</v>
      </c>
      <c r="J98" s="19">
        <v>1</v>
      </c>
      <c r="K98" s="19">
        <v>0.85</v>
      </c>
      <c r="Q98" s="18" t="s">
        <v>59</v>
      </c>
      <c r="R98" s="19">
        <v>0.71</v>
      </c>
      <c r="S98" s="19">
        <v>0.8</v>
      </c>
    </row>
    <row r="99" spans="1:19" ht="15" thickBot="1" x14ac:dyDescent="0.4">
      <c r="A99" s="18" t="s">
        <v>60</v>
      </c>
      <c r="B99" s="19">
        <v>0.76</v>
      </c>
      <c r="C99" s="19">
        <v>0.99</v>
      </c>
      <c r="D99" s="19">
        <v>1</v>
      </c>
      <c r="E99" s="19">
        <v>1</v>
      </c>
      <c r="F99" s="19">
        <v>1</v>
      </c>
      <c r="G99" s="19">
        <v>1</v>
      </c>
      <c r="H99" s="19">
        <v>1</v>
      </c>
      <c r="I99" s="19">
        <v>1</v>
      </c>
      <c r="J99" s="19">
        <v>1</v>
      </c>
      <c r="K99" s="19">
        <v>0.95</v>
      </c>
      <c r="Q99" s="18" t="s">
        <v>60</v>
      </c>
      <c r="R99" s="19">
        <v>0.98</v>
      </c>
      <c r="S99" s="19">
        <v>0.8</v>
      </c>
    </row>
    <row r="100" spans="1:19" ht="15" thickBot="1" x14ac:dyDescent="0.4">
      <c r="A100" s="18" t="s">
        <v>61</v>
      </c>
      <c r="B100" s="19">
        <v>0.82</v>
      </c>
      <c r="C100" s="19">
        <v>0.99</v>
      </c>
      <c r="D100" s="19">
        <v>1</v>
      </c>
      <c r="E100" s="19">
        <v>1</v>
      </c>
      <c r="F100" s="19">
        <v>1</v>
      </c>
      <c r="G100" s="19">
        <v>1</v>
      </c>
      <c r="H100" s="19">
        <v>0.9</v>
      </c>
      <c r="I100" s="19">
        <v>1</v>
      </c>
      <c r="J100" s="19">
        <v>1</v>
      </c>
      <c r="K100" s="19">
        <v>1</v>
      </c>
      <c r="Q100" s="18" t="s">
        <v>61</v>
      </c>
      <c r="R100" s="19">
        <v>0.95</v>
      </c>
      <c r="S100" s="19">
        <v>0.8</v>
      </c>
    </row>
    <row r="101" spans="1:19" ht="15" thickBot="1" x14ac:dyDescent="0.4">
      <c r="A101" s="18" t="s">
        <v>62</v>
      </c>
      <c r="B101" s="19">
        <v>0.88</v>
      </c>
      <c r="C101" s="19">
        <v>1</v>
      </c>
      <c r="D101" s="19">
        <v>1</v>
      </c>
      <c r="E101" s="19">
        <v>1</v>
      </c>
      <c r="F101" s="19">
        <v>1</v>
      </c>
      <c r="G101" s="19">
        <v>1</v>
      </c>
      <c r="H101" s="19">
        <v>0.89</v>
      </c>
      <c r="I101" s="19">
        <v>1</v>
      </c>
      <c r="J101" s="19">
        <v>1</v>
      </c>
      <c r="K101" s="19">
        <v>1</v>
      </c>
      <c r="Q101" s="18" t="s">
        <v>69</v>
      </c>
      <c r="R101" s="19">
        <v>0.97</v>
      </c>
      <c r="S101" s="19">
        <v>0.8</v>
      </c>
    </row>
    <row r="105" spans="1:19" ht="15" thickBot="1" x14ac:dyDescent="0.4">
      <c r="A105" s="17" t="s">
        <v>79</v>
      </c>
    </row>
    <row r="106" spans="1:19" ht="15" thickBot="1" x14ac:dyDescent="0.4">
      <c r="A106" s="18" t="s">
        <v>53</v>
      </c>
      <c r="B106" s="18" t="s">
        <v>54</v>
      </c>
      <c r="C106" s="14" t="s">
        <v>1</v>
      </c>
      <c r="D106" s="18" t="s">
        <v>2</v>
      </c>
      <c r="E106" s="14" t="s">
        <v>3</v>
      </c>
      <c r="F106" s="18" t="s">
        <v>7</v>
      </c>
      <c r="G106" s="14" t="s">
        <v>9</v>
      </c>
      <c r="H106" s="14" t="s">
        <v>6</v>
      </c>
      <c r="I106" s="14" t="s">
        <v>8</v>
      </c>
      <c r="Q106" s="18" t="s">
        <v>53</v>
      </c>
      <c r="R106" s="18" t="s">
        <v>56</v>
      </c>
      <c r="S106" s="18" t="s">
        <v>57</v>
      </c>
    </row>
    <row r="107" spans="1:19" ht="15" thickBot="1" x14ac:dyDescent="0.4">
      <c r="A107" s="18" t="s">
        <v>58</v>
      </c>
      <c r="B107" s="19">
        <v>1</v>
      </c>
      <c r="C107" s="19">
        <v>1</v>
      </c>
      <c r="D107" s="19">
        <v>1</v>
      </c>
      <c r="E107" s="19">
        <v>0.38</v>
      </c>
      <c r="F107" s="19">
        <v>0.33</v>
      </c>
      <c r="G107" s="19">
        <v>0.15</v>
      </c>
      <c r="H107" s="16">
        <v>0.5</v>
      </c>
      <c r="Q107" s="18" t="s">
        <v>58</v>
      </c>
      <c r="R107" s="19">
        <v>0.45</v>
      </c>
      <c r="S107" s="19">
        <v>0.8</v>
      </c>
    </row>
    <row r="108" spans="1:19" ht="15" thickBot="1" x14ac:dyDescent="0.4">
      <c r="A108" s="18" t="s">
        <v>59</v>
      </c>
      <c r="B108" s="19">
        <v>1</v>
      </c>
      <c r="C108" s="19">
        <v>1</v>
      </c>
      <c r="D108" s="19">
        <v>1</v>
      </c>
      <c r="E108" s="19">
        <v>0.96</v>
      </c>
      <c r="F108" s="19">
        <v>1</v>
      </c>
      <c r="G108" s="19">
        <v>1</v>
      </c>
      <c r="H108" s="19">
        <v>1</v>
      </c>
      <c r="Q108" s="18" t="s">
        <v>59</v>
      </c>
      <c r="R108" s="19">
        <v>0.99</v>
      </c>
      <c r="S108" s="19">
        <v>0.8</v>
      </c>
    </row>
    <row r="109" spans="1:19" ht="15" thickBot="1" x14ac:dyDescent="0.4">
      <c r="A109" s="18" t="s">
        <v>60</v>
      </c>
      <c r="B109" s="19">
        <v>1</v>
      </c>
      <c r="C109" s="19">
        <v>1</v>
      </c>
      <c r="D109" s="19">
        <v>1</v>
      </c>
      <c r="E109" s="19">
        <v>0.93</v>
      </c>
      <c r="F109" s="19">
        <v>1</v>
      </c>
      <c r="G109" s="19">
        <v>1</v>
      </c>
      <c r="H109" s="19">
        <v>1</v>
      </c>
      <c r="Q109" s="18" t="s">
        <v>60</v>
      </c>
      <c r="R109" s="19">
        <v>0.99</v>
      </c>
      <c r="S109" s="19">
        <v>0.8</v>
      </c>
    </row>
    <row r="110" spans="1:19" ht="15" thickBot="1" x14ac:dyDescent="0.4">
      <c r="A110" s="18" t="s">
        <v>61</v>
      </c>
      <c r="B110" s="19">
        <v>1</v>
      </c>
      <c r="C110" s="19">
        <v>1</v>
      </c>
      <c r="D110" s="19">
        <v>1</v>
      </c>
      <c r="E110" s="19">
        <v>0.69</v>
      </c>
      <c r="F110" s="19">
        <v>1</v>
      </c>
      <c r="G110" s="19">
        <v>1</v>
      </c>
      <c r="H110" s="19">
        <v>1</v>
      </c>
      <c r="Q110" s="18" t="s">
        <v>61</v>
      </c>
      <c r="R110" s="19">
        <v>0.96</v>
      </c>
      <c r="S110" s="19">
        <v>0.8</v>
      </c>
    </row>
    <row r="111" spans="1:19" ht="15" thickBot="1" x14ac:dyDescent="0.4">
      <c r="A111" s="18" t="s">
        <v>62</v>
      </c>
      <c r="B111" s="19">
        <v>1</v>
      </c>
      <c r="C111" s="19">
        <v>1</v>
      </c>
      <c r="D111" s="19">
        <v>1</v>
      </c>
      <c r="E111" s="19">
        <v>0.83</v>
      </c>
      <c r="F111" s="19">
        <v>1</v>
      </c>
      <c r="G111" s="19">
        <v>1</v>
      </c>
      <c r="H111" s="19">
        <v>0.89</v>
      </c>
      <c r="I111" s="19">
        <v>1</v>
      </c>
      <c r="Q111" s="18" t="s">
        <v>69</v>
      </c>
      <c r="R111" s="19">
        <v>0.97</v>
      </c>
      <c r="S111" s="19">
        <v>0.8</v>
      </c>
    </row>
    <row r="115" spans="1:19" ht="15" thickBot="1" x14ac:dyDescent="0.4">
      <c r="A115" s="17" t="s">
        <v>80</v>
      </c>
    </row>
    <row r="116" spans="1:19" ht="15" thickBot="1" x14ac:dyDescent="0.4">
      <c r="A116" s="18" t="s">
        <v>53</v>
      </c>
      <c r="B116" s="18" t="s">
        <v>3</v>
      </c>
      <c r="C116" s="14" t="s">
        <v>1</v>
      </c>
      <c r="D116" s="18"/>
      <c r="Q116" s="18" t="s">
        <v>11</v>
      </c>
      <c r="R116" s="18">
        <v>7</v>
      </c>
    </row>
    <row r="117" spans="1:19" ht="15" thickBot="1" x14ac:dyDescent="0.4">
      <c r="A117" s="18" t="s">
        <v>62</v>
      </c>
      <c r="B117" s="19">
        <v>0.24</v>
      </c>
      <c r="C117" s="19">
        <v>0.38</v>
      </c>
      <c r="D117" s="19"/>
      <c r="Q117" s="18" t="s">
        <v>12</v>
      </c>
      <c r="R117" s="18">
        <v>25</v>
      </c>
    </row>
    <row r="118" spans="1:19" ht="15" thickBot="1" x14ac:dyDescent="0.4">
      <c r="Q118" s="18" t="s">
        <v>13</v>
      </c>
      <c r="R118" s="19">
        <f>R116/R117</f>
        <v>0.28000000000000003</v>
      </c>
    </row>
    <row r="120" spans="1:19" ht="15" thickBot="1" x14ac:dyDescent="0.4">
      <c r="A120" s="17" t="s">
        <v>81</v>
      </c>
    </row>
    <row r="121" spans="1:19" ht="15" thickBot="1" x14ac:dyDescent="0.4">
      <c r="A121" s="18" t="s">
        <v>53</v>
      </c>
      <c r="B121" s="18" t="s">
        <v>41</v>
      </c>
      <c r="C121" s="14" t="s">
        <v>68</v>
      </c>
      <c r="D121" s="18" t="s">
        <v>45</v>
      </c>
      <c r="E121" s="14" t="s">
        <v>43</v>
      </c>
      <c r="F121" s="18" t="s">
        <v>44</v>
      </c>
      <c r="G121" s="14" t="s">
        <v>50</v>
      </c>
      <c r="H121" s="14" t="s">
        <v>82</v>
      </c>
      <c r="I121" s="14" t="s">
        <v>49</v>
      </c>
      <c r="J121" s="14" t="s">
        <v>83</v>
      </c>
      <c r="K121" s="14" t="s">
        <v>4</v>
      </c>
      <c r="Q121" s="18" t="s">
        <v>53</v>
      </c>
      <c r="R121" s="18" t="s">
        <v>56</v>
      </c>
      <c r="S121" s="18" t="s">
        <v>57</v>
      </c>
    </row>
    <row r="122" spans="1:19" ht="15" thickBot="1" x14ac:dyDescent="0.4">
      <c r="A122" s="18" t="s">
        <v>58</v>
      </c>
      <c r="B122" s="19">
        <v>0.8</v>
      </c>
      <c r="C122" s="19">
        <v>0.69</v>
      </c>
      <c r="D122" s="19">
        <v>0.22</v>
      </c>
      <c r="E122" s="19">
        <v>0.47</v>
      </c>
      <c r="F122" s="19">
        <v>0.69</v>
      </c>
      <c r="G122" s="19">
        <v>0.36</v>
      </c>
      <c r="H122" s="19">
        <v>0.93</v>
      </c>
      <c r="I122" s="19">
        <v>0</v>
      </c>
      <c r="J122" s="19">
        <v>0.92</v>
      </c>
      <c r="K122" s="19">
        <v>0.1</v>
      </c>
      <c r="Q122" s="18" t="s">
        <v>58</v>
      </c>
      <c r="R122" s="19">
        <v>0.89</v>
      </c>
      <c r="S122" s="19">
        <v>0.8</v>
      </c>
    </row>
    <row r="123" spans="1:19" ht="15" thickBot="1" x14ac:dyDescent="0.4">
      <c r="A123" s="18" t="s">
        <v>59</v>
      </c>
      <c r="B123" s="19">
        <v>0.9</v>
      </c>
      <c r="C123" s="19">
        <v>0.49</v>
      </c>
      <c r="D123" s="19">
        <v>0.16</v>
      </c>
      <c r="E123" s="19">
        <v>0.67</v>
      </c>
      <c r="F123" s="19">
        <v>0.85</v>
      </c>
      <c r="G123" s="19">
        <v>0.67</v>
      </c>
      <c r="H123" s="19">
        <v>0.74</v>
      </c>
      <c r="I123" s="19">
        <v>0</v>
      </c>
      <c r="J123" s="19">
        <v>0.79</v>
      </c>
      <c r="K123" s="19">
        <v>0.04</v>
      </c>
      <c r="Q123" s="18" t="s">
        <v>59</v>
      </c>
      <c r="R123" s="19">
        <v>0.92</v>
      </c>
      <c r="S123" s="19">
        <v>0.8</v>
      </c>
    </row>
    <row r="124" spans="1:19" ht="15" thickBot="1" x14ac:dyDescent="0.4">
      <c r="A124" s="18" t="s">
        <v>60</v>
      </c>
      <c r="B124" s="19">
        <v>0.73</v>
      </c>
      <c r="C124" s="19">
        <v>0.42</v>
      </c>
      <c r="D124" s="19">
        <v>0.28999999999999998</v>
      </c>
      <c r="E124" s="19">
        <v>0.67</v>
      </c>
      <c r="F124" s="19">
        <v>0.74</v>
      </c>
      <c r="G124" s="19">
        <v>0.38</v>
      </c>
      <c r="H124" s="19">
        <v>0.6</v>
      </c>
      <c r="I124" s="19">
        <v>0</v>
      </c>
      <c r="J124" s="19">
        <v>0.87</v>
      </c>
      <c r="K124" s="19">
        <v>0.53</v>
      </c>
      <c r="Q124" s="18" t="s">
        <v>60</v>
      </c>
      <c r="R124" s="19">
        <v>0.95</v>
      </c>
      <c r="S124" s="19">
        <v>0.8</v>
      </c>
    </row>
    <row r="125" spans="1:19" ht="15" thickBot="1" x14ac:dyDescent="0.4">
      <c r="A125" s="18" t="s">
        <v>61</v>
      </c>
      <c r="B125" s="19">
        <v>0.99</v>
      </c>
      <c r="C125" s="19">
        <v>1</v>
      </c>
      <c r="D125" s="19">
        <v>0.62</v>
      </c>
      <c r="E125" s="19">
        <v>0.31</v>
      </c>
      <c r="F125" s="19">
        <v>0.76</v>
      </c>
      <c r="G125" s="19">
        <v>0.9</v>
      </c>
      <c r="H125" s="19">
        <v>0.74</v>
      </c>
      <c r="I125" s="19">
        <v>0.73</v>
      </c>
      <c r="J125" s="19">
        <v>1</v>
      </c>
      <c r="K125" s="19">
        <v>0.68</v>
      </c>
      <c r="Q125" s="18" t="s">
        <v>61</v>
      </c>
      <c r="R125" s="19">
        <v>0.78</v>
      </c>
      <c r="S125" s="19">
        <v>0.8</v>
      </c>
    </row>
    <row r="126" spans="1:19" ht="15" thickBot="1" x14ac:dyDescent="0.4">
      <c r="A126" s="18" t="s">
        <v>62</v>
      </c>
      <c r="B126" s="19">
        <v>1</v>
      </c>
      <c r="C126" s="19">
        <v>0.94</v>
      </c>
      <c r="D126" s="19">
        <v>0.91</v>
      </c>
      <c r="E126" s="19">
        <v>0.75</v>
      </c>
      <c r="F126" s="19">
        <v>0.9</v>
      </c>
      <c r="G126" s="19">
        <v>0.83</v>
      </c>
      <c r="H126" s="19">
        <v>0.73</v>
      </c>
      <c r="I126" s="19">
        <v>0</v>
      </c>
      <c r="J126" s="19">
        <v>1</v>
      </c>
      <c r="K126" s="19">
        <v>0.47</v>
      </c>
      <c r="Q126" s="18" t="s">
        <v>62</v>
      </c>
      <c r="R126" s="19">
        <v>0.71</v>
      </c>
      <c r="S126" s="19">
        <v>0.8</v>
      </c>
    </row>
    <row r="130" spans="1:13" ht="15" thickBot="1" x14ac:dyDescent="0.4">
      <c r="A130" s="17" t="s">
        <v>84</v>
      </c>
    </row>
    <row r="131" spans="1:13" ht="15" thickBot="1" x14ac:dyDescent="0.4">
      <c r="A131" s="18" t="s">
        <v>53</v>
      </c>
      <c r="B131" s="18" t="s">
        <v>85</v>
      </c>
      <c r="C131" s="14" t="s">
        <v>86</v>
      </c>
      <c r="D131" s="18" t="s">
        <v>87</v>
      </c>
      <c r="E131" s="18" t="s">
        <v>88</v>
      </c>
      <c r="F131" s="18" t="s">
        <v>3</v>
      </c>
      <c r="G131" s="14" t="s">
        <v>7</v>
      </c>
      <c r="H131" s="14" t="s">
        <v>8</v>
      </c>
      <c r="I131" s="19" t="s">
        <v>9</v>
      </c>
      <c r="J131" s="19" t="s">
        <v>6</v>
      </c>
      <c r="K131" s="19" t="s">
        <v>89</v>
      </c>
      <c r="L131" s="19" t="s">
        <v>90</v>
      </c>
      <c r="M131" s="19" t="s">
        <v>5</v>
      </c>
    </row>
    <row r="132" spans="1:13" ht="15" thickBot="1" x14ac:dyDescent="0.4">
      <c r="A132" s="18" t="s">
        <v>58</v>
      </c>
      <c r="B132" s="19">
        <v>0.96</v>
      </c>
      <c r="C132" s="19">
        <v>0.67</v>
      </c>
      <c r="D132" s="19">
        <v>1</v>
      </c>
      <c r="E132" s="19">
        <v>1</v>
      </c>
      <c r="F132" s="19">
        <v>0.28999999999999998</v>
      </c>
      <c r="G132" s="19">
        <v>0.46</v>
      </c>
      <c r="H132" s="19">
        <v>1</v>
      </c>
      <c r="I132" s="19">
        <v>0</v>
      </c>
      <c r="J132" s="19">
        <v>0</v>
      </c>
      <c r="K132" s="19">
        <v>0.96</v>
      </c>
      <c r="L132" s="19">
        <v>0.67</v>
      </c>
      <c r="M132" s="19">
        <v>0</v>
      </c>
    </row>
    <row r="133" spans="1:13" ht="15" thickBot="1" x14ac:dyDescent="0.4">
      <c r="A133" s="18" t="s">
        <v>59</v>
      </c>
      <c r="B133" s="19">
        <v>0.94</v>
      </c>
      <c r="C133" s="19">
        <v>1</v>
      </c>
      <c r="D133" s="19">
        <v>0.63</v>
      </c>
      <c r="E133" s="19">
        <v>0</v>
      </c>
      <c r="F133" s="19">
        <v>0.5</v>
      </c>
      <c r="G133" s="19">
        <v>0.53</v>
      </c>
      <c r="H133" s="19">
        <v>0</v>
      </c>
      <c r="I133" s="19">
        <v>0.12</v>
      </c>
      <c r="J133" s="19">
        <v>0.16</v>
      </c>
      <c r="K133" s="19">
        <v>0</v>
      </c>
      <c r="L133" s="19">
        <v>0</v>
      </c>
      <c r="M133" s="19">
        <v>0</v>
      </c>
    </row>
    <row r="134" spans="1:13" ht="15" thickBot="1" x14ac:dyDescent="0.4">
      <c r="A134" s="18" t="s">
        <v>60</v>
      </c>
      <c r="B134" s="19">
        <v>1</v>
      </c>
      <c r="C134" s="19">
        <v>1</v>
      </c>
      <c r="D134" s="19">
        <v>0.09</v>
      </c>
      <c r="E134" s="19">
        <v>0</v>
      </c>
      <c r="F134" s="19">
        <v>0.14000000000000001</v>
      </c>
      <c r="G134" s="19">
        <v>0.33</v>
      </c>
      <c r="H134" s="19">
        <v>0</v>
      </c>
      <c r="I134" s="19">
        <v>0.21</v>
      </c>
      <c r="J134" s="19">
        <v>0</v>
      </c>
      <c r="K134" s="19">
        <v>1</v>
      </c>
      <c r="L134" s="19">
        <v>1</v>
      </c>
      <c r="M134" s="19">
        <v>0</v>
      </c>
    </row>
    <row r="135" spans="1:13" ht="15" thickBot="1" x14ac:dyDescent="0.4">
      <c r="A135" s="18" t="s">
        <v>61</v>
      </c>
      <c r="B135" s="19">
        <v>0.19</v>
      </c>
      <c r="C135" s="19">
        <v>0.27</v>
      </c>
      <c r="D135" s="19">
        <v>0.63</v>
      </c>
      <c r="E135" s="19">
        <v>0.83</v>
      </c>
      <c r="F135" s="19">
        <v>0.36</v>
      </c>
      <c r="G135" s="19">
        <v>0.38</v>
      </c>
      <c r="H135" s="19">
        <v>1</v>
      </c>
      <c r="I135" s="19">
        <v>0.66</v>
      </c>
      <c r="J135" s="19">
        <v>0.5</v>
      </c>
      <c r="K135" s="19">
        <v>0.25</v>
      </c>
      <c r="L135" s="19">
        <v>0</v>
      </c>
      <c r="M135" s="19">
        <v>0.56999999999999995</v>
      </c>
    </row>
    <row r="136" spans="1:13" ht="15" thickBot="1" x14ac:dyDescent="0.4">
      <c r="A136" s="18" t="s">
        <v>62</v>
      </c>
      <c r="B136" s="19">
        <v>0.41</v>
      </c>
      <c r="C136" s="19">
        <v>0.43</v>
      </c>
      <c r="D136" s="19">
        <v>0.81</v>
      </c>
      <c r="E136" s="19">
        <v>0.43</v>
      </c>
      <c r="F136" s="19">
        <v>0.65</v>
      </c>
      <c r="G136" s="19">
        <v>0.56000000000000005</v>
      </c>
      <c r="H136" s="19">
        <v>0</v>
      </c>
      <c r="I136" s="19">
        <v>0.68</v>
      </c>
      <c r="J136" s="19">
        <v>0.33</v>
      </c>
      <c r="K136" s="19">
        <v>0.5</v>
      </c>
      <c r="L136" s="19">
        <v>0</v>
      </c>
      <c r="M136" s="19">
        <v>0.33</v>
      </c>
    </row>
    <row r="140" spans="1:13" x14ac:dyDescent="0.35">
      <c r="A140" s="17" t="s">
        <v>91</v>
      </c>
    </row>
    <row r="141" spans="1:13" ht="15" thickBot="1" x14ac:dyDescent="0.4"/>
    <row r="142" spans="1:13" ht="15" thickBot="1" x14ac:dyDescent="0.4">
      <c r="A142" s="18" t="s">
        <v>53</v>
      </c>
      <c r="B142" s="18" t="s">
        <v>92</v>
      </c>
      <c r="C142" s="14" t="s">
        <v>6</v>
      </c>
    </row>
    <row r="143" spans="1:13" ht="15" thickBot="1" x14ac:dyDescent="0.4">
      <c r="A143" s="18" t="s">
        <v>62</v>
      </c>
      <c r="B143" s="19">
        <v>0.83</v>
      </c>
      <c r="C143" s="19">
        <v>0</v>
      </c>
    </row>
    <row r="146" spans="1:5" ht="15" thickBot="1" x14ac:dyDescent="0.4">
      <c r="A146" s="17" t="s">
        <v>93</v>
      </c>
    </row>
    <row r="147" spans="1:5" ht="15" thickBot="1" x14ac:dyDescent="0.4">
      <c r="A147" s="18" t="s">
        <v>53</v>
      </c>
      <c r="B147" s="18" t="s">
        <v>3</v>
      </c>
      <c r="C147" s="14" t="s">
        <v>17</v>
      </c>
      <c r="D147" s="18" t="s">
        <v>4</v>
      </c>
      <c r="E147" s="18" t="s">
        <v>7</v>
      </c>
    </row>
    <row r="148" spans="1:5" ht="15" thickBot="1" x14ac:dyDescent="0.4">
      <c r="A148" s="18" t="s">
        <v>62</v>
      </c>
      <c r="B148" s="19">
        <v>0.71</v>
      </c>
      <c r="C148" s="19">
        <v>0.88</v>
      </c>
      <c r="D148" s="19">
        <v>0.42</v>
      </c>
      <c r="E148" s="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 maharani erwin</dc:creator>
  <cp:lastModifiedBy>anugrah maharani erwin</cp:lastModifiedBy>
  <dcterms:created xsi:type="dcterms:W3CDTF">2025-11-07T00:53:58Z</dcterms:created>
  <dcterms:modified xsi:type="dcterms:W3CDTF">2026-06-08T03:40:24Z</dcterms:modified>
</cp:coreProperties>
</file>